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lonso\Desktop\"/>
    </mc:Choice>
  </mc:AlternateContent>
  <xr:revisionPtr revIDLastSave="0" documentId="13_ncr:1_{799181A9-8349-4C2A-AF85-3ACF81C45D0E}" xr6:coauthVersionLast="47" xr6:coauthVersionMax="47" xr10:uidLastSave="{00000000-0000-0000-0000-000000000000}"/>
  <bookViews>
    <workbookView xWindow="-120" yWindow="-120" windowWidth="29040" windowHeight="15720" xr2:uid="{7F47FA4D-2A1B-4068-BFC0-4DCBAF7C56F1}"/>
  </bookViews>
  <sheets>
    <sheet name="Hoja1" sheetId="1" r:id="rId1"/>
  </sheets>
  <definedNames>
    <definedName name="_xlnm._FilterDatabase" localSheetId="0" hidden="1">Hoja1!$A$1:$J$1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L24" i="1" l="1" a="1"/>
  <c r="L24" i="1" s="1"/>
  <c r="L89" i="1" a="1"/>
  <c r="L89" i="1" s="1"/>
  <c r="L84" i="1" a="1"/>
  <c r="L84" i="1" s="1"/>
  <c r="L79" i="1" a="1"/>
  <c r="L79" i="1" s="1"/>
  <c r="L74" i="1" a="1"/>
  <c r="L74" i="1" s="1"/>
  <c r="L69" i="1" a="1"/>
  <c r="L69" i="1" s="1"/>
  <c r="L64" i="1" a="1"/>
  <c r="L64" i="1" s="1"/>
  <c r="L59" i="1" a="1"/>
  <c r="L59" i="1" s="1"/>
  <c r="L54" i="1" a="1"/>
  <c r="L54" i="1" s="1"/>
  <c r="L49" i="1" a="1"/>
  <c r="L49" i="1" s="1"/>
  <c r="L44" i="1" a="1"/>
  <c r="L44" i="1" s="1"/>
  <c r="L39" i="1" a="1"/>
  <c r="L39" i="1" s="1"/>
  <c r="L34" i="1" a="1"/>
  <c r="L34" i="1" s="1"/>
  <c r="L29" i="1" a="1"/>
  <c r="L29" i="1" s="1"/>
  <c r="L19" i="1" a="1"/>
  <c r="L19" i="1" s="1"/>
  <c r="L14" i="1" a="1"/>
  <c r="L14" i="1" s="1"/>
  <c r="L9" i="1" a="1"/>
  <c r="L9" i="1" s="1"/>
  <c r="L4" i="1" a="1"/>
  <c r="L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<sst xmlns="http://schemas.openxmlformats.org/spreadsheetml/2006/main" count="550" uniqueCount="238">
  <si>
    <t>LIGOLAS</t>
  </si>
  <si>
    <t>ARQUERO</t>
  </si>
  <si>
    <t>ARMA</t>
  </si>
  <si>
    <t>ARMADURA</t>
  </si>
  <si>
    <t>GUANTES</t>
  </si>
  <si>
    <t>BOTAS</t>
  </si>
  <si>
    <t>COLLAR</t>
  </si>
  <si>
    <t>ANILLO</t>
  </si>
  <si>
    <t>CINTO</t>
  </si>
  <si>
    <t>AVANZADO</t>
  </si>
  <si>
    <t>DEFINITIVO</t>
  </si>
  <si>
    <t>HUMOR 6%</t>
  </si>
  <si>
    <t>EVASION 5%</t>
  </si>
  <si>
    <t>VEL ATQ 8%</t>
  </si>
  <si>
    <t>ORO 8%</t>
  </si>
  <si>
    <t>PRIMATES 20%</t>
  </si>
  <si>
    <t>CRIT 9%</t>
  </si>
  <si>
    <t>DAÑO CRIT 25%</t>
  </si>
  <si>
    <t>ORO 13%</t>
  </si>
  <si>
    <t>CASCO</t>
  </si>
  <si>
    <t>HECHICERO</t>
  </si>
  <si>
    <t>BRISENA</t>
  </si>
  <si>
    <t>DEF 9%</t>
  </si>
  <si>
    <t>POCO COMUN</t>
  </si>
  <si>
    <t>MOV 6%</t>
  </si>
  <si>
    <t>MENOS DAÑO 5%</t>
  </si>
  <si>
    <t>ROBAVIDAS 14%</t>
  </si>
  <si>
    <t>PRIMATES 30%</t>
  </si>
  <si>
    <t>ROBAVIDAS 12%</t>
  </si>
  <si>
    <t>CRIT 6%</t>
  </si>
  <si>
    <t>LYNETTE</t>
  </si>
  <si>
    <t>PRIMATES 24%</t>
  </si>
  <si>
    <t>MOV 15%</t>
  </si>
  <si>
    <t>MELVINA</t>
  </si>
  <si>
    <t>ATURDIR 9%</t>
  </si>
  <si>
    <t>BOSS 28%</t>
  </si>
  <si>
    <t>DEF 11%</t>
  </si>
  <si>
    <t>EXP 4%</t>
  </si>
  <si>
    <t>ROBAVIDAS 6%</t>
  </si>
  <si>
    <t>MINERALES 8%</t>
  </si>
  <si>
    <t>LEKWEN</t>
  </si>
  <si>
    <t>SACIEDAD 13%</t>
  </si>
  <si>
    <t>EXP 10%</t>
  </si>
  <si>
    <t>COMUN</t>
  </si>
  <si>
    <t>DEF 8%</t>
  </si>
  <si>
    <t>DAÑO CRIT 24%</t>
  </si>
  <si>
    <t>ANIMAL 18%</t>
  </si>
  <si>
    <t>MENOS DAÑO 8%</t>
  </si>
  <si>
    <t>ORO 11%</t>
  </si>
  <si>
    <t>ANIMAL 29%</t>
  </si>
  <si>
    <t>RESISTENCIA 11%</t>
  </si>
  <si>
    <t>ATQ 10%</t>
  </si>
  <si>
    <t>CABALLERO</t>
  </si>
  <si>
    <t>YOZET</t>
  </si>
  <si>
    <t>SACIEDAD 6%</t>
  </si>
  <si>
    <t>DAÑO CRIT 18%</t>
  </si>
  <si>
    <t>DEMONIOS 29%</t>
  </si>
  <si>
    <t>MINERALES 15%</t>
  </si>
  <si>
    <t>ATQ 11%</t>
  </si>
  <si>
    <t>ANIMAL 27%</t>
  </si>
  <si>
    <t>ROBAVIDAS 10%</t>
  </si>
  <si>
    <t>SACIEDAD 5%</t>
  </si>
  <si>
    <t>MINERALES 7%</t>
  </si>
  <si>
    <t>RIOS</t>
  </si>
  <si>
    <t>BOSS 27%</t>
  </si>
  <si>
    <t>PRIMATES 22%</t>
  </si>
  <si>
    <t>HUMOR 14%</t>
  </si>
  <si>
    <t>VEL ATQ 4%</t>
  </si>
  <si>
    <t>MINERALES 12%</t>
  </si>
  <si>
    <t>ROBAVIDAS 7%</t>
  </si>
  <si>
    <t>MINERALES 9%</t>
  </si>
  <si>
    <t>ZOMBIS 26%</t>
  </si>
  <si>
    <t>VEL ATQ 5%</t>
  </si>
  <si>
    <t>DEMONIOS 20%</t>
  </si>
  <si>
    <t>PALADIN</t>
  </si>
  <si>
    <t>KARLYN</t>
  </si>
  <si>
    <t>HP 8%</t>
  </si>
  <si>
    <t>PRIMATES 29%</t>
  </si>
  <si>
    <t>POBRE</t>
  </si>
  <si>
    <t>EXP 9%</t>
  </si>
  <si>
    <t>HP 15%</t>
  </si>
  <si>
    <t>EVASION 4%</t>
  </si>
  <si>
    <t>ROBAVIDAS 13%</t>
  </si>
  <si>
    <t>ZOMBIS 28%</t>
  </si>
  <si>
    <t>ANIMAL 5%</t>
  </si>
  <si>
    <t>CRIT 5%</t>
  </si>
  <si>
    <t>VEL ATQ 3%</t>
  </si>
  <si>
    <t>KEATON</t>
  </si>
  <si>
    <t>ATQ 20%</t>
  </si>
  <si>
    <t>BOSS 25%</t>
  </si>
  <si>
    <t>ROBAVIDAS 8%</t>
  </si>
  <si>
    <t>MENOS DAÑO 13%</t>
  </si>
  <si>
    <t>MOV 12%</t>
  </si>
  <si>
    <t>BOSS 16%</t>
  </si>
  <si>
    <t>GREYGON</t>
  </si>
  <si>
    <t>DEF 15%</t>
  </si>
  <si>
    <t>RESISTENCIA 7%</t>
  </si>
  <si>
    <t>EVASION 9%</t>
  </si>
  <si>
    <t>SACIEDAD 11%</t>
  </si>
  <si>
    <t>RESISTENCIA 13%</t>
  </si>
  <si>
    <t>DEF 17%</t>
  </si>
  <si>
    <t>MANA</t>
  </si>
  <si>
    <t>ATQ 15%</t>
  </si>
  <si>
    <t>EXP 5%</t>
  </si>
  <si>
    <t>DEF 20%</t>
  </si>
  <si>
    <t>HUMOR 13%</t>
  </si>
  <si>
    <t>DAÑO CRIT 29%</t>
  </si>
  <si>
    <t>HP 20%</t>
  </si>
  <si>
    <t>THAMUS</t>
  </si>
  <si>
    <t>CRIT 7%</t>
  </si>
  <si>
    <t>SACIEDAD 14%</t>
  </si>
  <si>
    <t>EXP 3%</t>
  </si>
  <si>
    <t>SELENE</t>
  </si>
  <si>
    <t>BERSERKER</t>
  </si>
  <si>
    <t>CRIT 3%</t>
  </si>
  <si>
    <t>VEL ATQ 10%</t>
  </si>
  <si>
    <t>DEF 19%</t>
  </si>
  <si>
    <t>ATQ 12%</t>
  </si>
  <si>
    <t>ROBAVIDAS 11%</t>
  </si>
  <si>
    <t>EVASION 8%</t>
  </si>
  <si>
    <t>HP 16%</t>
  </si>
  <si>
    <t>ORO 15%</t>
  </si>
  <si>
    <t>ATQ 14%</t>
  </si>
  <si>
    <t>PRIMATES 16%</t>
  </si>
  <si>
    <t>MOV 9%</t>
  </si>
  <si>
    <t>EVASION 6%</t>
  </si>
  <si>
    <t>MENOS DAÑO 6%</t>
  </si>
  <si>
    <t>CRIT 10%</t>
  </si>
  <si>
    <t>NIKO</t>
  </si>
  <si>
    <t>MALDICION 5%</t>
  </si>
  <si>
    <t>EXP 7%</t>
  </si>
  <si>
    <t>RESISTENCIA 6%</t>
  </si>
  <si>
    <t>VEL ATQ 6%</t>
  </si>
  <si>
    <t>ROBAVIDAS 15%</t>
  </si>
  <si>
    <t>BOSS 24%</t>
  </si>
  <si>
    <t>ANIMAL 17%</t>
  </si>
  <si>
    <t>EVASION 7%</t>
  </si>
  <si>
    <t>ANIMAL 22%</t>
  </si>
  <si>
    <t>RESISTENCIA 14%</t>
  </si>
  <si>
    <t>MINERALES 10%</t>
  </si>
  <si>
    <t>VEL ATQ 7&amp;</t>
  </si>
  <si>
    <t>HP 14%</t>
  </si>
  <si>
    <t>ORO 5%</t>
  </si>
  <si>
    <t>ATQ 17%</t>
  </si>
  <si>
    <t>ORO 7%</t>
  </si>
  <si>
    <t>ATQ 13%</t>
  </si>
  <si>
    <t>MOV 7%</t>
  </si>
  <si>
    <t>PRIMATES 28%</t>
  </si>
  <si>
    <t>MENOS DAÑO 15%</t>
  </si>
  <si>
    <t>DEMONIOS 25%</t>
  </si>
  <si>
    <t>ORO 6%</t>
  </si>
  <si>
    <t>ANIMAL 28%</t>
  </si>
  <si>
    <t>MOV 8%</t>
  </si>
  <si>
    <t>ZOMBIS 23%</t>
  </si>
  <si>
    <t>HP 11%</t>
  </si>
  <si>
    <t>MOV 5%</t>
  </si>
  <si>
    <t>BOSS 17%</t>
  </si>
  <si>
    <t>VEL ATQ 7%</t>
  </si>
  <si>
    <t>HP 19%</t>
  </si>
  <si>
    <t>PRIMATES 17%</t>
  </si>
  <si>
    <t>DAÑO CRIT 28%</t>
  </si>
  <si>
    <t>VEL ATQ 9%</t>
  </si>
  <si>
    <t>DAÑO CRIT 15%</t>
  </si>
  <si>
    <t>DEF 14%</t>
  </si>
  <si>
    <t>MENOS DAÑO 7%</t>
  </si>
  <si>
    <t>ZOMBIS 21%</t>
  </si>
  <si>
    <t>HP 10%</t>
  </si>
  <si>
    <t>ATQ WO%</t>
  </si>
  <si>
    <t>ROBAVIDAS</t>
  </si>
  <si>
    <t>SACIEDAD 10%</t>
  </si>
  <si>
    <t>ANIMAL 30%</t>
  </si>
  <si>
    <t>DEMONIOS 16%</t>
  </si>
  <si>
    <t>HP 9%</t>
  </si>
  <si>
    <t>MENOS DAÑO 10%</t>
  </si>
  <si>
    <t>MINERALES 6%</t>
  </si>
  <si>
    <t>PRIMATES 25%</t>
  </si>
  <si>
    <t>DEF 13%</t>
  </si>
  <si>
    <t>MALDICION 9%</t>
  </si>
  <si>
    <t>MINERALES 5%</t>
  </si>
  <si>
    <t>ANIMAL 19%</t>
  </si>
  <si>
    <t>RESISTENCIA 8%</t>
  </si>
  <si>
    <t>MINERALES 13%</t>
  </si>
  <si>
    <t>VARAD</t>
  </si>
  <si>
    <t>ATQ 19%</t>
  </si>
  <si>
    <t>ARCANGEL 6%</t>
  </si>
  <si>
    <t>DAÑO CRIT 21%</t>
  </si>
  <si>
    <t>DEF 18%</t>
  </si>
  <si>
    <t>MENOS DAÑO 12%</t>
  </si>
  <si>
    <t>ROBAVIDAS 9%</t>
  </si>
  <si>
    <t>EXP 6%</t>
  </si>
  <si>
    <t>HILLAH</t>
  </si>
  <si>
    <t>ARCANGEL 4%</t>
  </si>
  <si>
    <t>ATQ 18%</t>
  </si>
  <si>
    <t>MOV 13%</t>
  </si>
  <si>
    <t>ARCANGEL 3%</t>
  </si>
  <si>
    <t>LORD 3%</t>
  </si>
  <si>
    <t>LORD 9%</t>
  </si>
  <si>
    <t>BARRERA 13%</t>
  </si>
  <si>
    <t>LORD 5%</t>
  </si>
  <si>
    <t>DEMONIOS 30%</t>
  </si>
  <si>
    <t>ANIMAL 26%</t>
  </si>
  <si>
    <t>ARCANGEL 10%</t>
  </si>
  <si>
    <t>ARCANGEL 7%</t>
  </si>
  <si>
    <t>PRIMATES 18%</t>
  </si>
  <si>
    <t>ZOMBIS 27%</t>
  </si>
  <si>
    <t>BOSS 18%</t>
  </si>
  <si>
    <t>DAÑO CRIT 16%</t>
  </si>
  <si>
    <t>BOSS 26%</t>
  </si>
  <si>
    <t>BOSS 30%</t>
  </si>
  <si>
    <t>HUMOR 5%</t>
  </si>
  <si>
    <t>CRIT 4%</t>
  </si>
  <si>
    <t>DEF 10%</t>
  </si>
  <si>
    <t>DEFINITIVO PRI</t>
  </si>
  <si>
    <t>DAÑO CRIT 23%</t>
  </si>
  <si>
    <t>HP 12%</t>
  </si>
  <si>
    <t>MINERALES 11%</t>
  </si>
  <si>
    <t>ZOMBIS 16%</t>
  </si>
  <si>
    <t>ATQ 16%</t>
  </si>
  <si>
    <t>MOV 11%</t>
  </si>
  <si>
    <t>RESISTENCIA 9%</t>
  </si>
  <si>
    <t>BOSS 32%</t>
  </si>
  <si>
    <t>ORO 9%</t>
  </si>
  <si>
    <t>DEF 21%</t>
  </si>
  <si>
    <t>CANUS</t>
  </si>
  <si>
    <t>LORD 10%</t>
  </si>
  <si>
    <t>BOSS 19%</t>
  </si>
  <si>
    <t>AVANZADO PRI</t>
  </si>
  <si>
    <t>SACIEDAD 15%</t>
  </si>
  <si>
    <t>DAÑO CRIT 27%</t>
  </si>
  <si>
    <t xml:space="preserve"> </t>
  </si>
  <si>
    <t>ROBAVDIAS 9%</t>
  </si>
  <si>
    <t>HP 18%</t>
  </si>
  <si>
    <t>EVASION 10%</t>
  </si>
  <si>
    <t>EVASION 3%</t>
  </si>
  <si>
    <t>DEMONIOS 26%</t>
  </si>
  <si>
    <t>DAÑO CRIT 30%</t>
  </si>
  <si>
    <t>CRIT 8%</t>
  </si>
  <si>
    <t>DEMONIOS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</si>
</sst>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146"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8181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rgb="FFFFFF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EEEEEE"/>
      <color rgb="FFFF8181"/>
      <color rgb="FFFFFF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15EE-EF80-4EBF-A1C7-4742F5D0FC98}">
  <dimension ref="A1:O91"/>
  <sheetViews>
    <sheetView tabSelected="1" workbookViewId="0">
      <pane ySplit="1" topLeftCell="A31" activePane="bottomLeft" state="frozen"/>
      <selection pane="bottomLeft" activeCell="D62" sqref="D62"/>
    </sheetView>
  </sheetViews>
  <sheetFormatPr baseColWidth="10" defaultRowHeight="15" x14ac:dyDescent="0.25"/>
  <cols>
    <col min="2" max="2" width="8.7109375" bestFit="1" customWidth="1"/>
    <col min="3" max="3" width="18.85546875" style="1" bestFit="1" customWidth="1"/>
    <col min="4" max="4" width="16.28515625" style="1" bestFit="1" customWidth="1"/>
    <col min="5" max="5" width="18.28515625" style="1" bestFit="1" customWidth="1"/>
    <col min="6" max="6" width="16.28515625" style="1" bestFit="1" customWidth="1"/>
    <col min="7" max="7" width="17.28515625" style="1" bestFit="1" customWidth="1"/>
    <col min="8" max="8" width="16.140625" style="1" bestFit="1" customWidth="1"/>
    <col min="9" max="9" width="16" style="1" customWidth="1"/>
    <col min="10" max="10" width="17.28515625" style="1" bestFit="1" customWidth="1"/>
  </cols>
  <sheetData>
    <row r="1" spans="1:15" ht="15.75" thickBot="1" x14ac:dyDescent="0.3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8</v>
      </c>
    </row>
    <row r="2" spans="1:15" x14ac:dyDescent="0.25">
      <c r="A2" s="6" t="s">
        <v>1</v>
      </c>
      <c r="B2" s="9" t="s">
        <v>0</v>
      </c>
      <c r="C2" s="2" t="s">
        <v>139</v>
      </c>
      <c r="D2" s="2" t="s">
        <v>51</v>
      </c>
      <c r="E2" s="2" t="s">
        <v>46</v>
      </c>
      <c r="F2" s="2" t="s">
        <v>13</v>
      </c>
      <c r="G2" s="2" t="s">
        <v>142</v>
      </c>
      <c r="H2" s="2" t="s">
        <v>16</v>
      </c>
      <c r="I2" s="2" t="s">
        <v>98</v>
      </c>
      <c r="J2" s="3" t="s">
        <v>15</v>
      </c>
    </row>
    <row r="3" spans="1:15" x14ac:dyDescent="0.25">
      <c r="A3" s="7"/>
      <c r="B3" s="10"/>
      <c r="C3" s="1" t="s">
        <v>163</v>
      </c>
      <c r="D3" s="1" t="s">
        <v>118</v>
      </c>
      <c r="E3" s="1" t="s">
        <v>145</v>
      </c>
      <c r="F3" s="1" t="s">
        <v>14</v>
      </c>
      <c r="G3" s="1" t="s">
        <v>143</v>
      </c>
      <c r="H3" s="1" t="s">
        <v>17</v>
      </c>
      <c r="I3" s="1" t="s">
        <v>127</v>
      </c>
      <c r="J3" s="4"/>
    </row>
    <row r="4" spans="1:15" x14ac:dyDescent="0.25">
      <c r="A4" s="7"/>
      <c r="B4" s="10"/>
      <c r="C4" s="1" t="s">
        <v>196</v>
      </c>
      <c r="D4" s="1" t="s">
        <v>61</v>
      </c>
      <c r="E4" s="1" t="s">
        <v>100</v>
      </c>
      <c r="F4" s="1" t="s">
        <v>16</v>
      </c>
      <c r="G4" s="1" t="s">
        <v>13</v>
      </c>
      <c r="H4" s="1" t="s">
        <v>18</v>
      </c>
      <c r="I4" s="1" t="s">
        <v>38</v>
      </c>
      <c r="J4" s="4"/>
      <c r="K4" s="1" t="s">
        <v>168</v>
      </c>
      <c r="L4" cm="1">
        <f t="array" ref="L4">SUMPRODUCT(IFERROR(VALUE(SUBSTITUTE(MID(C2:J4,SEARCH(" ",C2:J4)+1,10),"%","")),0)*(ISNUMBER(SEARCH("ROBAVIDAS",C2:J4))))</f>
        <v>17</v>
      </c>
    </row>
    <row r="5" spans="1:15" x14ac:dyDescent="0.25">
      <c r="A5" s="7"/>
      <c r="B5" s="10"/>
      <c r="C5" s="1" t="s">
        <v>9</v>
      </c>
      <c r="D5" s="1" t="s">
        <v>9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9</v>
      </c>
      <c r="J5" s="1" t="s">
        <v>10</v>
      </c>
    </row>
    <row r="6" spans="1:15" ht="15.75" thickBot="1" x14ac:dyDescent="0.3">
      <c r="A6" s="8"/>
      <c r="B6" s="11"/>
      <c r="C6" s="5">
        <v>20</v>
      </c>
      <c r="D6" s="5">
        <v>20</v>
      </c>
      <c r="E6" s="5">
        <v>20</v>
      </c>
      <c r="F6" s="5">
        <v>20</v>
      </c>
      <c r="G6" s="5">
        <v>20</v>
      </c>
      <c r="H6" s="5">
        <v>20</v>
      </c>
      <c r="I6" s="5">
        <v>20</v>
      </c>
      <c r="J6" s="5">
        <v>20</v>
      </c>
      <c r="O6">
        <v>1</v>
      </c>
    </row>
    <row r="7" spans="1:15" x14ac:dyDescent="0.25">
      <c r="A7" s="6" t="s">
        <v>1</v>
      </c>
      <c r="B7" s="9" t="s">
        <v>128</v>
      </c>
      <c r="C7" s="2" t="s">
        <v>129</v>
      </c>
      <c r="D7" s="2" t="s">
        <v>98</v>
      </c>
      <c r="E7" s="2" t="s">
        <v>46</v>
      </c>
      <c r="F7" s="2" t="s">
        <v>235</v>
      </c>
      <c r="G7" s="2" t="s">
        <v>144</v>
      </c>
      <c r="H7" s="2" t="s">
        <v>156</v>
      </c>
      <c r="I7" s="2" t="s">
        <v>174</v>
      </c>
      <c r="J7" s="3" t="s">
        <v>29</v>
      </c>
      <c r="O7">
        <v>4</v>
      </c>
    </row>
    <row r="8" spans="1:15" x14ac:dyDescent="0.25">
      <c r="A8" s="7"/>
      <c r="B8" s="10"/>
      <c r="C8" s="1" t="s">
        <v>82</v>
      </c>
      <c r="D8" s="1" t="s">
        <v>114</v>
      </c>
      <c r="E8" s="1" t="s">
        <v>131</v>
      </c>
      <c r="F8" s="1" t="s">
        <v>44</v>
      </c>
      <c r="G8" s="1" t="s">
        <v>109</v>
      </c>
      <c r="H8" s="1" t="s">
        <v>72</v>
      </c>
      <c r="I8" s="1" t="s">
        <v>175</v>
      </c>
      <c r="J8" s="4"/>
      <c r="O8">
        <v>2</v>
      </c>
    </row>
    <row r="9" spans="1:15" x14ac:dyDescent="0.25">
      <c r="A9" s="7"/>
      <c r="B9" s="10"/>
      <c r="C9" s="1" t="s">
        <v>36</v>
      </c>
      <c r="D9" s="1" t="s">
        <v>130</v>
      </c>
      <c r="E9" s="1" t="s">
        <v>132</v>
      </c>
      <c r="F9" s="1" t="s">
        <v>132</v>
      </c>
      <c r="G9" s="1" t="s">
        <v>90</v>
      </c>
      <c r="H9" s="1" t="s">
        <v>88</v>
      </c>
      <c r="I9" s="1" t="s">
        <v>102</v>
      </c>
      <c r="J9" s="4"/>
      <c r="K9" s="1" t="s">
        <v>168</v>
      </c>
      <c r="L9" cm="1">
        <f t="array" ref="L9">SUMPRODUCT(IFERROR(VALUE(SUBSTITUTE(MID(C7:J9,SEARCH(" ",C7:J9)+1,10),"%","")),0)*(ISNUMBER(SEARCH("ROBAVIDAS",C7:J9))))</f>
        <v>21</v>
      </c>
      <c r="O9">
        <v>1</v>
      </c>
    </row>
    <row r="10" spans="1:15" x14ac:dyDescent="0.25">
      <c r="A10" s="7"/>
      <c r="B10" s="10"/>
      <c r="C10" s="1" t="s">
        <v>10</v>
      </c>
      <c r="D10" s="1" t="s">
        <v>10</v>
      </c>
      <c r="E10" s="1" t="s">
        <v>10</v>
      </c>
      <c r="F10" s="1" t="s">
        <v>10</v>
      </c>
      <c r="G10" s="1" t="s">
        <v>9</v>
      </c>
      <c r="H10" s="1" t="s">
        <v>9</v>
      </c>
      <c r="I10" s="1" t="s">
        <v>23</v>
      </c>
      <c r="J10" s="1" t="s">
        <v>9</v>
      </c>
      <c r="O10">
        <v>3</v>
      </c>
    </row>
    <row r="11" spans="1:15" ht="15.75" thickBot="1" x14ac:dyDescent="0.3">
      <c r="A11" s="8"/>
      <c r="B11" s="11"/>
      <c r="C11" s="5">
        <v>20</v>
      </c>
      <c r="D11" s="5">
        <v>20</v>
      </c>
      <c r="E11" s="5">
        <v>20</v>
      </c>
      <c r="F11" s="5">
        <v>20</v>
      </c>
      <c r="G11" s="5">
        <v>20</v>
      </c>
      <c r="H11" s="5">
        <v>20</v>
      </c>
      <c r="I11" s="5">
        <v>0</v>
      </c>
      <c r="J11" s="5">
        <v>0</v>
      </c>
      <c r="O11">
        <v>2</v>
      </c>
    </row>
    <row r="12" spans="1:15" x14ac:dyDescent="0.25">
      <c r="A12" s="6" t="s">
        <v>20</v>
      </c>
      <c r="B12" s="9" t="s">
        <v>21</v>
      </c>
      <c r="C12" s="2" t="s">
        <v>93</v>
      </c>
      <c r="D12" s="2" t="s">
        <v>24</v>
      </c>
      <c r="E12" s="2" t="s">
        <v>12</v>
      </c>
      <c r="F12" s="2" t="s">
        <v>27</v>
      </c>
      <c r="G12" s="2" t="s">
        <v>42</v>
      </c>
      <c r="H12" s="2" t="s">
        <v>158</v>
      </c>
      <c r="I12" s="2" t="s">
        <v>95</v>
      </c>
      <c r="J12" s="3" t="s">
        <v>103</v>
      </c>
      <c r="O12">
        <v>1</v>
      </c>
    </row>
    <row r="13" spans="1:15" x14ac:dyDescent="0.25">
      <c r="A13" s="7"/>
      <c r="B13" s="10"/>
      <c r="C13" s="1" t="s">
        <v>103</v>
      </c>
      <c r="D13" s="1" t="s">
        <v>25</v>
      </c>
      <c r="E13" s="1" t="s">
        <v>44</v>
      </c>
      <c r="F13" s="1" t="s">
        <v>28</v>
      </c>
      <c r="G13" s="1" t="s">
        <v>145</v>
      </c>
      <c r="H13" s="1" t="s">
        <v>159</v>
      </c>
      <c r="I13" s="1" t="s">
        <v>154</v>
      </c>
      <c r="J13" s="4"/>
      <c r="O13">
        <v>3</v>
      </c>
    </row>
    <row r="14" spans="1:15" x14ac:dyDescent="0.25">
      <c r="A14" s="7"/>
      <c r="B14" s="10"/>
      <c r="C14" s="1" t="s">
        <v>176</v>
      </c>
      <c r="D14" s="1" t="s">
        <v>26</v>
      </c>
      <c r="E14" s="1" t="s">
        <v>86</v>
      </c>
      <c r="F14" s="1" t="s">
        <v>29</v>
      </c>
      <c r="G14" s="1" t="s">
        <v>91</v>
      </c>
      <c r="H14" s="1" t="s">
        <v>160</v>
      </c>
      <c r="I14" s="1" t="s">
        <v>47</v>
      </c>
      <c r="J14" s="4"/>
      <c r="K14" s="1" t="s">
        <v>168</v>
      </c>
      <c r="L14" cm="1">
        <f t="array" ref="L14">SUMPRODUCT(IFERROR(VALUE(SUBSTITUTE(MID(C12:J14,SEARCH(" ",C12:J14)+1,10),"%","")),0)*(ISNUMBER(SEARCH("ROBAVIDAS",C12:J14))))</f>
        <v>26</v>
      </c>
      <c r="O14">
        <v>1</v>
      </c>
    </row>
    <row r="15" spans="1:15" x14ac:dyDescent="0.25">
      <c r="A15" s="7"/>
      <c r="B15" s="10"/>
      <c r="C15" s="1" t="s">
        <v>10</v>
      </c>
      <c r="D15" s="1" t="s">
        <v>10</v>
      </c>
      <c r="E15" s="1" t="s">
        <v>10</v>
      </c>
      <c r="F15" s="1" t="s">
        <v>10</v>
      </c>
      <c r="G15" s="1" t="s">
        <v>9</v>
      </c>
      <c r="H15" s="1" t="s">
        <v>10</v>
      </c>
      <c r="I15" s="1" t="s">
        <v>9</v>
      </c>
      <c r="J15" s="1" t="s">
        <v>9</v>
      </c>
      <c r="O15">
        <v>2</v>
      </c>
    </row>
    <row r="16" spans="1:15" ht="15.75" thickBot="1" x14ac:dyDescent="0.3">
      <c r="A16" s="8"/>
      <c r="B16" s="11"/>
      <c r="C16" s="5">
        <v>20</v>
      </c>
      <c r="D16" s="5">
        <v>20</v>
      </c>
      <c r="E16" s="5">
        <v>20</v>
      </c>
      <c r="F16" s="5">
        <v>20</v>
      </c>
      <c r="G16" s="5">
        <v>15</v>
      </c>
      <c r="H16" s="5">
        <v>20</v>
      </c>
      <c r="I16" s="5">
        <v>0</v>
      </c>
      <c r="J16" s="5">
        <v>0</v>
      </c>
    </row>
    <row r="17" spans="1:12" x14ac:dyDescent="0.25">
      <c r="A17" s="6" t="s">
        <v>20</v>
      </c>
      <c r="B17" s="9" t="s">
        <v>30</v>
      </c>
      <c r="C17" s="2" t="s">
        <v>177</v>
      </c>
      <c r="D17" s="2" t="s">
        <v>103</v>
      </c>
      <c r="E17" s="2" t="s">
        <v>136</v>
      </c>
      <c r="F17" s="2" t="s">
        <v>139</v>
      </c>
      <c r="G17" s="2" t="s">
        <v>203</v>
      </c>
      <c r="H17" s="2" t="s">
        <v>48</v>
      </c>
      <c r="I17" s="2" t="s">
        <v>233</v>
      </c>
      <c r="J17" s="3" t="s">
        <v>169</v>
      </c>
    </row>
    <row r="18" spans="1:12" x14ac:dyDescent="0.25">
      <c r="A18" s="7"/>
      <c r="B18" s="10"/>
      <c r="C18" s="1" t="s">
        <v>178</v>
      </c>
      <c r="D18" s="1" t="s">
        <v>14</v>
      </c>
      <c r="E18" s="1" t="s">
        <v>137</v>
      </c>
      <c r="F18" s="1" t="s">
        <v>31</v>
      </c>
      <c r="G18" s="1" t="s">
        <v>76</v>
      </c>
      <c r="H18" s="1" t="s">
        <v>118</v>
      </c>
      <c r="I18" s="1" t="s">
        <v>234</v>
      </c>
      <c r="J18" s="4"/>
    </row>
    <row r="19" spans="1:12" x14ac:dyDescent="0.25">
      <c r="A19" s="7"/>
      <c r="B19" s="10"/>
      <c r="C19" s="1" t="s">
        <v>38</v>
      </c>
      <c r="D19" s="1" t="s">
        <v>29</v>
      </c>
      <c r="E19" s="1" t="s">
        <v>138</v>
      </c>
      <c r="F19" s="1" t="s">
        <v>140</v>
      </c>
      <c r="G19" s="1" t="s">
        <v>150</v>
      </c>
      <c r="H19" s="1" t="s">
        <v>29</v>
      </c>
      <c r="I19" s="1" t="s">
        <v>66</v>
      </c>
      <c r="J19" s="4"/>
      <c r="K19" s="1" t="s">
        <v>168</v>
      </c>
      <c r="L19" cm="1">
        <f t="array" ref="L19">SUMPRODUCT(IFERROR(VALUE(SUBSTITUTE(MID(C17:J19,SEARCH(" ",C17:J19)+1,10),"%","")),0)*(ISNUMBER(SEARCH("ROBAVIDAS",C17:J19))))</f>
        <v>17</v>
      </c>
    </row>
    <row r="20" spans="1:12" x14ac:dyDescent="0.25">
      <c r="A20" s="7"/>
      <c r="B20" s="10"/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9</v>
      </c>
      <c r="I20" s="1" t="s">
        <v>10</v>
      </c>
      <c r="J20" s="1" t="s">
        <v>9</v>
      </c>
    </row>
    <row r="21" spans="1:12" ht="15.75" thickBot="1" x14ac:dyDescent="0.3">
      <c r="A21" s="8"/>
      <c r="B21" s="11"/>
      <c r="C21" s="5">
        <v>20</v>
      </c>
      <c r="D21" s="5">
        <v>20</v>
      </c>
      <c r="E21" s="5">
        <v>20</v>
      </c>
      <c r="F21" s="5">
        <v>20</v>
      </c>
      <c r="G21" s="5">
        <v>20</v>
      </c>
      <c r="H21" s="5">
        <v>5</v>
      </c>
      <c r="I21" s="5">
        <v>0</v>
      </c>
      <c r="J21" s="5">
        <v>0</v>
      </c>
    </row>
    <row r="22" spans="1:12" x14ac:dyDescent="0.25">
      <c r="A22" s="6" t="s">
        <v>113</v>
      </c>
      <c r="B22" s="9" t="s">
        <v>223</v>
      </c>
      <c r="C22" s="2" t="s">
        <v>224</v>
      </c>
      <c r="D22" s="2" t="s">
        <v>188</v>
      </c>
      <c r="E22" s="2" t="s">
        <v>139</v>
      </c>
      <c r="F22" s="2" t="s">
        <v>227</v>
      </c>
      <c r="G22" s="2" t="s">
        <v>130</v>
      </c>
      <c r="H22" s="2" t="s">
        <v>231</v>
      </c>
      <c r="I22" s="2" t="s">
        <v>228</v>
      </c>
      <c r="J22" s="3"/>
    </row>
    <row r="23" spans="1:12" x14ac:dyDescent="0.25">
      <c r="A23" s="7"/>
      <c r="B23" s="10"/>
      <c r="C23" s="1" t="s">
        <v>225</v>
      </c>
      <c r="D23" s="1" t="s">
        <v>163</v>
      </c>
      <c r="E23" s="1" t="s">
        <v>188</v>
      </c>
      <c r="F23" s="1" t="s">
        <v>24</v>
      </c>
      <c r="G23" s="1" t="s">
        <v>230</v>
      </c>
      <c r="H23" s="1" t="s">
        <v>232</v>
      </c>
      <c r="I23" s="1" t="s">
        <v>13</v>
      </c>
      <c r="J23" s="4"/>
    </row>
    <row r="24" spans="1:12" x14ac:dyDescent="0.25">
      <c r="A24" s="7"/>
      <c r="B24" s="10"/>
      <c r="C24" s="1" t="s">
        <v>58</v>
      </c>
      <c r="D24" s="1" t="s">
        <v>170</v>
      </c>
      <c r="E24" s="1" t="s">
        <v>119</v>
      </c>
      <c r="F24" s="1" t="s">
        <v>28</v>
      </c>
      <c r="G24" s="1" t="s">
        <v>164</v>
      </c>
      <c r="H24" s="1" t="s">
        <v>156</v>
      </c>
      <c r="I24" s="1" t="s">
        <v>22</v>
      </c>
      <c r="J24" s="4"/>
      <c r="K24" s="1" t="s">
        <v>168</v>
      </c>
      <c r="L24" cm="1">
        <f t="array" ref="L24">SUMPRODUCT(IFERROR(VALUE(SUBSTITUTE(MID(C22:J24,SEARCH(" ",C22:J24)+1,10),"%","")),0)*(ISNUMBER(SEARCH("ROBAVIDAS",C22:J24))))</f>
        <v>30</v>
      </c>
    </row>
    <row r="25" spans="1:12" x14ac:dyDescent="0.25">
      <c r="A25" s="7"/>
      <c r="B25" s="10"/>
      <c r="C25" s="1" t="s">
        <v>10</v>
      </c>
      <c r="D25" s="1" t="s">
        <v>10</v>
      </c>
      <c r="E25" s="1" t="s">
        <v>226</v>
      </c>
      <c r="F25" s="1" t="s">
        <v>10</v>
      </c>
      <c r="G25" s="1" t="s">
        <v>10</v>
      </c>
      <c r="H25" s="1" t="s">
        <v>10</v>
      </c>
      <c r="I25" s="1" t="s">
        <v>9</v>
      </c>
    </row>
    <row r="26" spans="1:12" ht="15.75" thickBot="1" x14ac:dyDescent="0.3">
      <c r="A26" s="8"/>
      <c r="B26" s="11"/>
      <c r="C26" s="5">
        <v>20</v>
      </c>
      <c r="D26" s="5">
        <v>20</v>
      </c>
      <c r="E26" s="5">
        <v>20</v>
      </c>
      <c r="F26" s="5">
        <v>20</v>
      </c>
      <c r="G26" s="5">
        <v>10</v>
      </c>
      <c r="H26" s="5">
        <v>10</v>
      </c>
      <c r="I26" s="5">
        <v>0</v>
      </c>
      <c r="J26" s="5"/>
    </row>
    <row r="27" spans="1:12" x14ac:dyDescent="0.25">
      <c r="A27" s="6" t="s">
        <v>113</v>
      </c>
      <c r="B27" s="9" t="s">
        <v>112</v>
      </c>
      <c r="C27" s="2" t="s">
        <v>202</v>
      </c>
      <c r="D27" s="2" t="s">
        <v>217</v>
      </c>
      <c r="E27" s="2" t="s">
        <v>214</v>
      </c>
      <c r="F27" s="2" t="s">
        <v>156</v>
      </c>
      <c r="G27" s="2" t="s">
        <v>70</v>
      </c>
      <c r="H27" s="2" t="s">
        <v>229</v>
      </c>
      <c r="I27" s="2" t="s">
        <v>205</v>
      </c>
      <c r="J27" s="3"/>
    </row>
    <row r="28" spans="1:12" x14ac:dyDescent="0.25">
      <c r="A28" s="7"/>
      <c r="B28" s="10"/>
      <c r="C28" s="1" t="s">
        <v>31</v>
      </c>
      <c r="D28" s="1" t="s">
        <v>171</v>
      </c>
      <c r="E28" s="1" t="s">
        <v>215</v>
      </c>
      <c r="F28" s="1" t="s">
        <v>114</v>
      </c>
      <c r="G28" s="1" t="s">
        <v>187</v>
      </c>
      <c r="H28" s="1" t="s">
        <v>133</v>
      </c>
      <c r="I28" s="1" t="s">
        <v>206</v>
      </c>
      <c r="J28" s="4"/>
    </row>
    <row r="29" spans="1:12" x14ac:dyDescent="0.25">
      <c r="A29" s="7"/>
      <c r="B29" s="10"/>
      <c r="C29" s="1" t="s">
        <v>111</v>
      </c>
      <c r="D29" s="1" t="s">
        <v>86</v>
      </c>
      <c r="E29" s="1" t="s">
        <v>122</v>
      </c>
      <c r="F29" s="1" t="s">
        <v>216</v>
      </c>
      <c r="G29" s="1" t="s">
        <v>204</v>
      </c>
      <c r="H29" s="1" t="s">
        <v>99</v>
      </c>
      <c r="I29" s="1" t="s">
        <v>12</v>
      </c>
      <c r="J29" s="4"/>
      <c r="K29" s="1" t="s">
        <v>168</v>
      </c>
      <c r="L29" cm="1">
        <f t="array" ref="L29">SUMPRODUCT(IFERROR(VALUE(SUBSTITUTE(MID(C27:J29,SEARCH(" ",C27:J29)+1,10),"%","")),0)*(ISNUMBER(SEARCH("ROBAVIDAS",C27:J29))))</f>
        <v>15</v>
      </c>
    </row>
    <row r="30" spans="1:12" x14ac:dyDescent="0.25">
      <c r="A30" s="7"/>
      <c r="B30" s="10"/>
      <c r="C30" s="1" t="s">
        <v>10</v>
      </c>
      <c r="D30" s="1" t="s">
        <v>10</v>
      </c>
      <c r="E30" s="1" t="s">
        <v>10</v>
      </c>
      <c r="F30" s="1" t="s">
        <v>10</v>
      </c>
      <c r="G30" s="1" t="s">
        <v>212</v>
      </c>
      <c r="H30" s="1" t="s">
        <v>9</v>
      </c>
      <c r="I30" s="1" t="s">
        <v>10</v>
      </c>
      <c r="J30" s="1" t="s">
        <v>23</v>
      </c>
    </row>
    <row r="31" spans="1:12" ht="15.75" thickBot="1" x14ac:dyDescent="0.3">
      <c r="A31" s="8"/>
      <c r="B31" s="11"/>
      <c r="C31" s="5">
        <v>20</v>
      </c>
      <c r="D31" s="5">
        <v>20</v>
      </c>
      <c r="E31" s="5">
        <v>20</v>
      </c>
      <c r="F31" s="5">
        <v>20</v>
      </c>
      <c r="G31" s="5">
        <v>20</v>
      </c>
      <c r="H31" s="5">
        <v>20</v>
      </c>
      <c r="I31" s="5">
        <v>20</v>
      </c>
      <c r="J31" s="5">
        <v>20</v>
      </c>
    </row>
    <row r="32" spans="1:12" x14ac:dyDescent="0.25">
      <c r="A32" s="6" t="s">
        <v>1</v>
      </c>
      <c r="B32" s="9" t="s">
        <v>33</v>
      </c>
      <c r="C32" s="2" t="s">
        <v>34</v>
      </c>
      <c r="D32" s="2" t="s">
        <v>50</v>
      </c>
      <c r="E32" s="2" t="s">
        <v>37</v>
      </c>
      <c r="F32" s="2" t="s">
        <v>188</v>
      </c>
      <c r="G32" s="2" t="s">
        <v>54</v>
      </c>
      <c r="H32" s="2" t="s">
        <v>42</v>
      </c>
      <c r="I32" s="2" t="s">
        <v>106</v>
      </c>
      <c r="J32" s="3" t="s">
        <v>135</v>
      </c>
    </row>
    <row r="33" spans="1:12" x14ac:dyDescent="0.25">
      <c r="A33" s="7"/>
      <c r="B33" s="10"/>
      <c r="C33" s="1" t="s">
        <v>35</v>
      </c>
      <c r="D33" s="1" t="s">
        <v>167</v>
      </c>
      <c r="E33" s="1" t="s">
        <v>16</v>
      </c>
      <c r="F33" s="1" t="s">
        <v>189</v>
      </c>
      <c r="G33" s="1" t="s">
        <v>118</v>
      </c>
      <c r="H33" s="1" t="s">
        <v>161</v>
      </c>
      <c r="I33" s="1" t="s">
        <v>29</v>
      </c>
      <c r="J33" s="4"/>
    </row>
    <row r="34" spans="1:12" x14ac:dyDescent="0.25">
      <c r="A34" s="7"/>
      <c r="B34" s="10"/>
      <c r="C34" s="1" t="s">
        <v>36</v>
      </c>
      <c r="D34" s="1" t="s">
        <v>127</v>
      </c>
      <c r="E34" s="1" t="s">
        <v>38</v>
      </c>
      <c r="F34" s="1" t="s">
        <v>157</v>
      </c>
      <c r="G34" s="1" t="s">
        <v>49</v>
      </c>
      <c r="H34" s="1" t="s">
        <v>162</v>
      </c>
      <c r="I34" s="1" t="s">
        <v>207</v>
      </c>
      <c r="J34" s="4"/>
      <c r="K34" s="1" t="s">
        <v>168</v>
      </c>
      <c r="L34" cm="1">
        <f t="array" ref="L34">SUMPRODUCT(IFERROR(VALUE(SUBSTITUTE(MID(C32:J34,SEARCH(" ",C32:J34)+1,10),"%","")),0)*(ISNUMBER(SEARCH("ROBAVIDAS",C32:J34))))</f>
        <v>26</v>
      </c>
    </row>
    <row r="35" spans="1:12" x14ac:dyDescent="0.25">
      <c r="A35" s="7"/>
      <c r="B35" s="10"/>
      <c r="C35" s="1" t="s">
        <v>10</v>
      </c>
      <c r="D35" s="1" t="s">
        <v>9</v>
      </c>
      <c r="E35" s="1" t="s">
        <v>10</v>
      </c>
      <c r="F35" s="1" t="s">
        <v>9</v>
      </c>
      <c r="G35" s="1" t="s">
        <v>9</v>
      </c>
      <c r="H35" s="1" t="s">
        <v>9</v>
      </c>
      <c r="I35" s="1" t="s">
        <v>23</v>
      </c>
      <c r="J35" s="1" t="s">
        <v>23</v>
      </c>
    </row>
    <row r="36" spans="1:12" ht="15.75" thickBot="1" x14ac:dyDescent="0.3">
      <c r="A36" s="8"/>
      <c r="B36" s="11"/>
      <c r="C36" s="5">
        <v>20</v>
      </c>
      <c r="D36" s="5">
        <v>20</v>
      </c>
      <c r="E36" s="5">
        <v>20</v>
      </c>
      <c r="F36" s="5">
        <v>20</v>
      </c>
      <c r="G36" s="5">
        <v>20</v>
      </c>
      <c r="H36" s="5">
        <v>20</v>
      </c>
      <c r="I36" s="5">
        <v>20</v>
      </c>
      <c r="J36" s="5">
        <v>0</v>
      </c>
    </row>
    <row r="37" spans="1:12" x14ac:dyDescent="0.25">
      <c r="A37" s="6" t="s">
        <v>20</v>
      </c>
      <c r="B37" s="9" t="s">
        <v>40</v>
      </c>
      <c r="C37" s="2" t="s">
        <v>28</v>
      </c>
      <c r="D37" s="2" t="s">
        <v>117</v>
      </c>
      <c r="E37" s="2" t="s">
        <v>118</v>
      </c>
      <c r="F37" s="2" t="s">
        <v>218</v>
      </c>
      <c r="G37" s="2" t="s">
        <v>77</v>
      </c>
      <c r="H37" s="2" t="s">
        <v>49</v>
      </c>
      <c r="I37" s="2"/>
      <c r="J37" s="3" t="s">
        <v>171</v>
      </c>
    </row>
    <row r="38" spans="1:12" x14ac:dyDescent="0.25">
      <c r="A38" s="7"/>
      <c r="B38" s="10"/>
      <c r="C38" s="1" t="s">
        <v>173</v>
      </c>
      <c r="D38" s="1" t="s">
        <v>114</v>
      </c>
      <c r="E38" s="1" t="s">
        <v>24</v>
      </c>
      <c r="F38" s="1" t="s">
        <v>120</v>
      </c>
      <c r="G38" s="1" t="s">
        <v>116</v>
      </c>
      <c r="H38" s="1" t="s">
        <v>50</v>
      </c>
      <c r="J38" s="4"/>
    </row>
    <row r="39" spans="1:12" x14ac:dyDescent="0.25">
      <c r="A39" s="7"/>
      <c r="B39" s="10"/>
      <c r="C39" s="1" t="s">
        <v>179</v>
      </c>
      <c r="D39" s="1" t="s">
        <v>146</v>
      </c>
      <c r="E39" s="1" t="s">
        <v>45</v>
      </c>
      <c r="F39" s="1" t="s">
        <v>219</v>
      </c>
      <c r="G39" s="1" t="s">
        <v>124</v>
      </c>
      <c r="H39" s="1" t="s">
        <v>51</v>
      </c>
      <c r="J39" s="4"/>
      <c r="K39" s="1" t="s">
        <v>168</v>
      </c>
      <c r="L39" cm="1">
        <f t="array" ref="L39">SUMPRODUCT(IFERROR(VALUE(SUBSTITUTE(MID(C37:J39,SEARCH(" ",C37:J39)+1,10),"%","")),0)*(ISNUMBER(SEARCH("ROBAVIDAS",C37:J39))))</f>
        <v>23</v>
      </c>
    </row>
    <row r="40" spans="1:12" x14ac:dyDescent="0.25">
      <c r="A40" s="7"/>
      <c r="B40" s="10"/>
      <c r="C40" s="1" t="s">
        <v>10</v>
      </c>
      <c r="D40" s="1" t="s">
        <v>9</v>
      </c>
      <c r="E40" s="1" t="s">
        <v>9</v>
      </c>
      <c r="F40" s="1" t="s">
        <v>10</v>
      </c>
      <c r="G40" s="1" t="s">
        <v>9</v>
      </c>
      <c r="H40" s="1" t="s">
        <v>23</v>
      </c>
      <c r="J40" s="1" t="s">
        <v>23</v>
      </c>
    </row>
    <row r="41" spans="1:12" ht="15.75" thickBot="1" x14ac:dyDescent="0.3">
      <c r="A41" s="8"/>
      <c r="B41" s="11"/>
      <c r="C41" s="5">
        <v>20</v>
      </c>
      <c r="D41" s="5">
        <v>20</v>
      </c>
      <c r="E41" s="5">
        <v>20</v>
      </c>
      <c r="F41" s="5">
        <v>20</v>
      </c>
      <c r="G41" s="5">
        <v>10</v>
      </c>
      <c r="H41" s="5">
        <v>20</v>
      </c>
      <c r="I41" s="5"/>
      <c r="J41" s="5">
        <v>0</v>
      </c>
    </row>
    <row r="42" spans="1:12" x14ac:dyDescent="0.25">
      <c r="A42" s="6" t="s">
        <v>52</v>
      </c>
      <c r="B42" s="9" t="s">
        <v>53</v>
      </c>
      <c r="C42" s="2" t="s">
        <v>197</v>
      </c>
      <c r="D42" s="2" t="s">
        <v>55</v>
      </c>
      <c r="E42" s="2" t="s">
        <v>89</v>
      </c>
      <c r="F42" s="2" t="s">
        <v>122</v>
      </c>
      <c r="G42" s="2" t="s">
        <v>147</v>
      </c>
      <c r="H42" s="2" t="s">
        <v>60</v>
      </c>
      <c r="I42" s="2" t="s">
        <v>56</v>
      </c>
      <c r="J42" s="3" t="s">
        <v>170</v>
      </c>
    </row>
    <row r="43" spans="1:12" x14ac:dyDescent="0.25">
      <c r="A43" s="7"/>
      <c r="B43" s="10"/>
      <c r="C43" s="1" t="s">
        <v>127</v>
      </c>
      <c r="D43" s="1" t="s">
        <v>56</v>
      </c>
      <c r="E43" s="1" t="s">
        <v>26</v>
      </c>
      <c r="F43" s="1" t="s">
        <v>86</v>
      </c>
      <c r="G43" s="1" t="s">
        <v>148</v>
      </c>
      <c r="H43" s="1" t="s">
        <v>61</v>
      </c>
      <c r="I43" s="1" t="s">
        <v>11</v>
      </c>
      <c r="J43" s="4"/>
    </row>
    <row r="44" spans="1:12" x14ac:dyDescent="0.25">
      <c r="A44" s="7"/>
      <c r="B44" s="10"/>
      <c r="C44" s="1" t="s">
        <v>45</v>
      </c>
      <c r="D44" s="1" t="s">
        <v>50</v>
      </c>
      <c r="E44" s="1" t="s">
        <v>193</v>
      </c>
      <c r="F44" s="1" t="s">
        <v>44</v>
      </c>
      <c r="G44" s="1" t="s">
        <v>149</v>
      </c>
      <c r="H44" s="1" t="s">
        <v>62</v>
      </c>
      <c r="I44" s="1" t="s">
        <v>96</v>
      </c>
      <c r="J44" s="4"/>
      <c r="K44" s="1" t="s">
        <v>168</v>
      </c>
      <c r="L44" cm="1">
        <f t="array" ref="L44">SUMPRODUCT(IFERROR(VALUE(SUBSTITUTE(MID(C42:J44,SEARCH(" ",C42:J44)+1,10),"%","")),0)*(ISNUMBER(SEARCH("ROBAVIDAS",C42:J44))))</f>
        <v>24</v>
      </c>
    </row>
    <row r="45" spans="1:12" x14ac:dyDescent="0.25">
      <c r="A45" s="7"/>
      <c r="B45" s="10"/>
      <c r="C45" s="1" t="s">
        <v>10</v>
      </c>
      <c r="D45" s="1" t="s">
        <v>9</v>
      </c>
      <c r="E45" s="1" t="s">
        <v>9</v>
      </c>
      <c r="F45" s="1" t="s">
        <v>9</v>
      </c>
      <c r="G45" s="1" t="s">
        <v>9</v>
      </c>
      <c r="H45" s="1" t="s">
        <v>23</v>
      </c>
      <c r="I45" s="1" t="s">
        <v>43</v>
      </c>
      <c r="J45" s="1" t="s">
        <v>23</v>
      </c>
    </row>
    <row r="46" spans="1:12" ht="15.75" thickBot="1" x14ac:dyDescent="0.3">
      <c r="A46" s="8"/>
      <c r="B46" s="11"/>
      <c r="C46" s="5">
        <v>20</v>
      </c>
      <c r="D46" s="5">
        <v>20</v>
      </c>
      <c r="E46" s="5">
        <v>20</v>
      </c>
      <c r="F46" s="5">
        <v>20</v>
      </c>
      <c r="G46" s="5">
        <v>18</v>
      </c>
      <c r="H46" s="5">
        <v>20</v>
      </c>
      <c r="I46" s="5">
        <v>0</v>
      </c>
      <c r="J46" s="5">
        <v>0</v>
      </c>
    </row>
    <row r="47" spans="1:12" x14ac:dyDescent="0.25">
      <c r="A47" s="6" t="s">
        <v>1</v>
      </c>
      <c r="B47" s="9" t="s">
        <v>63</v>
      </c>
      <c r="C47" s="2" t="s">
        <v>153</v>
      </c>
      <c r="D47" s="2" t="s">
        <v>57</v>
      </c>
      <c r="E47" s="2" t="s">
        <v>66</v>
      </c>
      <c r="F47" s="2" t="s">
        <v>35</v>
      </c>
      <c r="G47" s="2" t="s">
        <v>117</v>
      </c>
      <c r="H47" s="2" t="s">
        <v>71</v>
      </c>
      <c r="I47" s="2"/>
      <c r="J47" s="3" t="s">
        <v>172</v>
      </c>
    </row>
    <row r="48" spans="1:12" x14ac:dyDescent="0.25">
      <c r="A48" s="7"/>
      <c r="B48" s="10"/>
      <c r="C48" s="1" t="s">
        <v>79</v>
      </c>
      <c r="D48" s="1" t="s">
        <v>65</v>
      </c>
      <c r="E48" s="1" t="s">
        <v>67</v>
      </c>
      <c r="F48" s="1" t="s">
        <v>69</v>
      </c>
      <c r="G48" s="1" t="s">
        <v>157</v>
      </c>
      <c r="H48" s="1" t="s">
        <v>72</v>
      </c>
      <c r="J48" s="4"/>
    </row>
    <row r="49" spans="1:12" x14ac:dyDescent="0.25">
      <c r="A49" s="7"/>
      <c r="B49" s="10"/>
      <c r="C49" s="1" t="s">
        <v>145</v>
      </c>
      <c r="D49" s="1" t="s">
        <v>18</v>
      </c>
      <c r="E49" s="1" t="s">
        <v>68</v>
      </c>
      <c r="F49" s="1" t="s">
        <v>70</v>
      </c>
      <c r="G49" s="1" t="s">
        <v>150</v>
      </c>
      <c r="H49" s="1" t="s">
        <v>73</v>
      </c>
      <c r="J49" s="4"/>
      <c r="K49" s="1" t="s">
        <v>168</v>
      </c>
      <c r="L49" cm="1">
        <f t="array" ref="L49">SUMPRODUCT(IFERROR(VALUE(SUBSTITUTE(MID(C47:J49,SEARCH(" ",C47:J49)+1,10),"%","")),0)*(ISNUMBER(SEARCH("ROBAVIDAS",C47:J49))))</f>
        <v>7</v>
      </c>
    </row>
    <row r="50" spans="1:12" x14ac:dyDescent="0.25">
      <c r="A50" s="7"/>
      <c r="B50" s="10"/>
      <c r="C50" s="1" t="s">
        <v>10</v>
      </c>
      <c r="D50" s="1" t="s">
        <v>9</v>
      </c>
      <c r="E50" s="1" t="s">
        <v>10</v>
      </c>
      <c r="F50" s="1" t="s">
        <v>10</v>
      </c>
      <c r="G50" s="1" t="s">
        <v>10</v>
      </c>
      <c r="H50" s="1" t="s">
        <v>23</v>
      </c>
      <c r="J50" s="1" t="s">
        <v>43</v>
      </c>
    </row>
    <row r="51" spans="1:12" ht="15.75" thickBot="1" x14ac:dyDescent="0.3">
      <c r="A51" s="8"/>
      <c r="B51" s="11"/>
      <c r="C51" s="5">
        <v>20</v>
      </c>
      <c r="D51" s="5">
        <v>20</v>
      </c>
      <c r="E51" s="5">
        <v>20</v>
      </c>
      <c r="F51" s="5">
        <v>20</v>
      </c>
      <c r="G51" s="5">
        <v>10</v>
      </c>
      <c r="H51" s="5">
        <v>20</v>
      </c>
      <c r="I51" s="5"/>
      <c r="J51" s="5">
        <v>0</v>
      </c>
    </row>
    <row r="52" spans="1:12" x14ac:dyDescent="0.25">
      <c r="A52" s="6" t="s">
        <v>74</v>
      </c>
      <c r="B52" s="9" t="s">
        <v>75</v>
      </c>
      <c r="C52" s="2" t="s">
        <v>174</v>
      </c>
      <c r="D52" s="2" t="s">
        <v>80</v>
      </c>
      <c r="E52" s="2" t="s">
        <v>90</v>
      </c>
      <c r="F52" s="2" t="s">
        <v>81</v>
      </c>
      <c r="G52" s="2" t="s">
        <v>220</v>
      </c>
      <c r="H52" s="2" t="s">
        <v>84</v>
      </c>
      <c r="I52" s="2"/>
      <c r="J52" s="3" t="s">
        <v>173</v>
      </c>
    </row>
    <row r="53" spans="1:12" x14ac:dyDescent="0.25">
      <c r="A53" s="7"/>
      <c r="B53" s="10"/>
      <c r="C53" s="1" t="s">
        <v>194</v>
      </c>
      <c r="D53" s="1" t="s">
        <v>143</v>
      </c>
      <c r="E53" s="1" t="s">
        <v>166</v>
      </c>
      <c r="F53" s="1" t="s">
        <v>82</v>
      </c>
      <c r="G53" s="1" t="s">
        <v>221</v>
      </c>
      <c r="H53" s="1" t="s">
        <v>85</v>
      </c>
      <c r="J53" s="4"/>
    </row>
    <row r="54" spans="1:12" x14ac:dyDescent="0.25">
      <c r="A54" s="7"/>
      <c r="B54" s="10"/>
      <c r="C54" s="1" t="s">
        <v>111</v>
      </c>
      <c r="D54" s="1" t="s">
        <v>125</v>
      </c>
      <c r="E54" s="1" t="s">
        <v>155</v>
      </c>
      <c r="F54" s="1" t="s">
        <v>83</v>
      </c>
      <c r="G54" s="1" t="s">
        <v>222</v>
      </c>
      <c r="H54" s="1" t="s">
        <v>86</v>
      </c>
      <c r="J54" s="4"/>
      <c r="K54" s="1" t="s">
        <v>168</v>
      </c>
      <c r="L54" cm="1">
        <f t="array" ref="L54">SUMPRODUCT(IFERROR(VALUE(SUBSTITUTE(MID(C52:J54,SEARCH(" ",C52:J54)+1,10),"%","")),0)*(ISNUMBER(SEARCH("ROBAVIDAS",C52:J54))))</f>
        <v>21</v>
      </c>
    </row>
    <row r="55" spans="1:12" x14ac:dyDescent="0.25">
      <c r="A55" s="7"/>
      <c r="B55" s="10"/>
      <c r="C55" s="1" t="s">
        <v>10</v>
      </c>
      <c r="D55" s="1" t="s">
        <v>9</v>
      </c>
      <c r="E55" s="1" t="s">
        <v>9</v>
      </c>
      <c r="F55" s="1" t="s">
        <v>10</v>
      </c>
      <c r="G55" s="1" t="s">
        <v>212</v>
      </c>
      <c r="H55" s="1" t="s">
        <v>23</v>
      </c>
      <c r="J55" s="1" t="s">
        <v>78</v>
      </c>
    </row>
    <row r="56" spans="1:12" ht="15.75" thickBot="1" x14ac:dyDescent="0.3">
      <c r="A56" s="8"/>
      <c r="B56" s="11"/>
      <c r="C56" s="5">
        <v>20</v>
      </c>
      <c r="D56" s="5">
        <v>20</v>
      </c>
      <c r="E56" s="5">
        <v>10</v>
      </c>
      <c r="F56" s="5">
        <v>20</v>
      </c>
      <c r="G56" s="5">
        <v>20</v>
      </c>
      <c r="H56" s="5">
        <v>20</v>
      </c>
      <c r="I56" s="5"/>
      <c r="J56" s="5">
        <v>0</v>
      </c>
    </row>
    <row r="57" spans="1:12" x14ac:dyDescent="0.25">
      <c r="A57" s="6" t="s">
        <v>1</v>
      </c>
      <c r="B57" s="9" t="s">
        <v>87</v>
      </c>
      <c r="C57" s="2" t="s">
        <v>57</v>
      </c>
      <c r="D57" s="2" t="s">
        <v>97</v>
      </c>
      <c r="E57" s="2" t="s">
        <v>88</v>
      </c>
      <c r="F57" s="2" t="s">
        <v>188</v>
      </c>
      <c r="G57" s="2" t="s">
        <v>150</v>
      </c>
      <c r="H57" s="2" t="s">
        <v>236</v>
      </c>
      <c r="I57" s="2"/>
      <c r="J57" s="3"/>
    </row>
    <row r="58" spans="1:12" x14ac:dyDescent="0.25">
      <c r="A58" s="7"/>
      <c r="B58" s="10"/>
      <c r="C58" s="1" t="s">
        <v>198</v>
      </c>
      <c r="D58" s="1" t="s">
        <v>14</v>
      </c>
      <c r="E58" s="1" t="s">
        <v>150</v>
      </c>
      <c r="F58" s="1" t="s">
        <v>81</v>
      </c>
      <c r="G58" s="1" t="s">
        <v>151</v>
      </c>
      <c r="H58" s="1" t="s">
        <v>90</v>
      </c>
      <c r="J58" s="4"/>
    </row>
    <row r="59" spans="1:12" x14ac:dyDescent="0.25">
      <c r="A59" s="7"/>
      <c r="B59" s="10"/>
      <c r="C59" s="1" t="s">
        <v>199</v>
      </c>
      <c r="D59" s="1" t="s">
        <v>183</v>
      </c>
      <c r="E59" s="1" t="s">
        <v>86</v>
      </c>
      <c r="F59" s="1" t="s">
        <v>114</v>
      </c>
      <c r="G59" s="1" t="s">
        <v>127</v>
      </c>
      <c r="H59" s="1" t="s">
        <v>237</v>
      </c>
      <c r="J59" s="4"/>
      <c r="K59" s="1" t="s">
        <v>168</v>
      </c>
      <c r="L59" cm="1">
        <f t="array" ref="L59">SUMPRODUCT(IFERROR(VALUE(SUBSTITUTE(MID(C57:J59,SEARCH(" ",C57:J59)+1,10),"%","")),0)*(ISNUMBER(SEARCH("ROBAVIDAS",C57:J59))))</f>
        <v>17</v>
      </c>
    </row>
    <row r="60" spans="1:12" x14ac:dyDescent="0.25">
      <c r="A60" s="7"/>
      <c r="B60" s="10"/>
      <c r="C60" s="1" t="s">
        <v>10</v>
      </c>
      <c r="D60" s="1" t="s">
        <v>9</v>
      </c>
      <c r="E60" s="1" t="s">
        <v>9</v>
      </c>
      <c r="F60" s="1" t="s">
        <v>9</v>
      </c>
      <c r="G60" s="1" t="s">
        <v>9</v>
      </c>
      <c r="H60" s="1" t="s">
        <v>10</v>
      </c>
      <c r="J60" s="1" t="s">
        <v>43</v>
      </c>
    </row>
    <row r="61" spans="1:12" ht="15.75" thickBot="1" x14ac:dyDescent="0.3">
      <c r="A61" s="8"/>
      <c r="B61" s="11"/>
      <c r="C61" s="5">
        <v>20</v>
      </c>
      <c r="D61" s="5">
        <v>13</v>
      </c>
      <c r="E61" s="5">
        <v>10</v>
      </c>
      <c r="F61" s="5">
        <v>10</v>
      </c>
      <c r="G61" s="5">
        <v>10</v>
      </c>
      <c r="H61" s="5">
        <v>16</v>
      </c>
      <c r="I61" s="5"/>
      <c r="J61" s="5">
        <v>0</v>
      </c>
    </row>
    <row r="62" spans="1:12" x14ac:dyDescent="0.25">
      <c r="A62" s="6" t="s">
        <v>20</v>
      </c>
      <c r="B62" s="9" t="s">
        <v>94</v>
      </c>
      <c r="C62" s="2" t="s">
        <v>200</v>
      </c>
      <c r="D62" s="2" t="s">
        <v>25</v>
      </c>
      <c r="E62" s="2" t="s">
        <v>89</v>
      </c>
      <c r="F62" s="2" t="s">
        <v>134</v>
      </c>
      <c r="G62" s="2" t="s">
        <v>98</v>
      </c>
      <c r="H62" s="2" t="s">
        <v>99</v>
      </c>
      <c r="I62" s="2" t="s">
        <v>211</v>
      </c>
      <c r="J62" s="3"/>
    </row>
    <row r="63" spans="1:12" x14ac:dyDescent="0.25">
      <c r="A63" s="7"/>
      <c r="B63" s="10"/>
      <c r="C63" s="1" t="s">
        <v>201</v>
      </c>
      <c r="D63" s="1" t="s">
        <v>206</v>
      </c>
      <c r="E63" s="1" t="s">
        <v>96</v>
      </c>
      <c r="F63" s="1" t="s">
        <v>210</v>
      </c>
      <c r="G63" s="1" t="s">
        <v>49</v>
      </c>
      <c r="H63" s="1" t="s">
        <v>100</v>
      </c>
      <c r="I63" s="1" t="s">
        <v>172</v>
      </c>
      <c r="J63" s="4"/>
    </row>
    <row r="64" spans="1:12" x14ac:dyDescent="0.25">
      <c r="A64" s="7"/>
      <c r="B64" s="10"/>
      <c r="C64" s="1" t="s">
        <v>12</v>
      </c>
      <c r="D64" s="1" t="s">
        <v>209</v>
      </c>
      <c r="E64" s="1" t="s">
        <v>11</v>
      </c>
      <c r="F64" s="1" t="s">
        <v>76</v>
      </c>
      <c r="G64" s="1" t="s">
        <v>153</v>
      </c>
      <c r="H64" s="1" t="s">
        <v>79</v>
      </c>
      <c r="I64" s="1" t="s">
        <v>125</v>
      </c>
      <c r="J64" s="4"/>
      <c r="K64" s="1" t="s">
        <v>168</v>
      </c>
      <c r="L64" cm="1">
        <f t="array" ref="L64">SUMPRODUCT(IFERROR(VALUE(SUBSTITUTE(MID(C62:J64,SEARCH(" ",C62:J64)+1,10),"%","")),0)*(ISNUMBER(SEARCH("ROBAVIDAS",C62:J64))))</f>
        <v>0</v>
      </c>
    </row>
    <row r="65" spans="1:12" x14ac:dyDescent="0.25">
      <c r="A65" s="7"/>
      <c r="B65" s="10"/>
      <c r="C65" s="1" t="s">
        <v>9</v>
      </c>
      <c r="D65" s="1" t="s">
        <v>10</v>
      </c>
      <c r="E65" s="1" t="s">
        <v>10</v>
      </c>
      <c r="F65" s="1" t="s">
        <v>10</v>
      </c>
      <c r="G65" s="1" t="s">
        <v>9</v>
      </c>
      <c r="H65" s="1" t="s">
        <v>23</v>
      </c>
      <c r="I65" s="1" t="s">
        <v>23</v>
      </c>
    </row>
    <row r="66" spans="1:12" ht="15.75" thickBot="1" x14ac:dyDescent="0.3">
      <c r="A66" s="8"/>
      <c r="B66" s="11"/>
      <c r="C66" s="5">
        <v>20</v>
      </c>
      <c r="D66" s="5">
        <v>20</v>
      </c>
      <c r="E66" s="5">
        <v>10</v>
      </c>
      <c r="F66" s="5">
        <v>20</v>
      </c>
      <c r="G66" s="5">
        <v>10</v>
      </c>
      <c r="H66" s="5">
        <v>10</v>
      </c>
      <c r="I66" s="5">
        <v>10</v>
      </c>
      <c r="J66" s="5"/>
    </row>
    <row r="67" spans="1:12" x14ac:dyDescent="0.25">
      <c r="A67" s="6" t="s">
        <v>74</v>
      </c>
      <c r="B67" s="9" t="s">
        <v>101</v>
      </c>
      <c r="C67" s="2" t="s">
        <v>195</v>
      </c>
      <c r="D67" s="2" t="s">
        <v>104</v>
      </c>
      <c r="E67" s="2" t="s">
        <v>37</v>
      </c>
      <c r="F67" s="2" t="s">
        <v>15</v>
      </c>
      <c r="G67" s="2" t="s">
        <v>36</v>
      </c>
      <c r="H67" s="2" t="s">
        <v>60</v>
      </c>
      <c r="I67" s="2"/>
      <c r="J67" s="3"/>
    </row>
    <row r="68" spans="1:12" x14ac:dyDescent="0.25">
      <c r="A68" s="7"/>
      <c r="B68" s="10"/>
      <c r="C68" s="1" t="s">
        <v>39</v>
      </c>
      <c r="D68" s="1" t="s">
        <v>105</v>
      </c>
      <c r="E68" s="1" t="s">
        <v>106</v>
      </c>
      <c r="F68" s="1" t="s">
        <v>107</v>
      </c>
      <c r="G68" s="1" t="s">
        <v>114</v>
      </c>
      <c r="H68" s="1" t="s">
        <v>41</v>
      </c>
      <c r="J68" s="4"/>
    </row>
    <row r="69" spans="1:12" x14ac:dyDescent="0.25">
      <c r="A69" s="7"/>
      <c r="B69" s="10"/>
      <c r="C69" s="1" t="s">
        <v>103</v>
      </c>
      <c r="D69" s="1" t="s">
        <v>12</v>
      </c>
      <c r="E69" s="1" t="s">
        <v>89</v>
      </c>
      <c r="F69" s="1" t="s">
        <v>88</v>
      </c>
      <c r="G69" s="1" t="s">
        <v>152</v>
      </c>
      <c r="H69" s="1" t="s">
        <v>104</v>
      </c>
      <c r="J69" s="4"/>
      <c r="K69" s="1" t="s">
        <v>168</v>
      </c>
      <c r="L69" cm="1">
        <f t="array" ref="L69">SUMPRODUCT(IFERROR(VALUE(SUBSTITUTE(MID(C67:J69,SEARCH(" ",C67:J69)+1,10),"%","")),0)*(ISNUMBER(SEARCH("ROBAVIDAS",C67:J69))))</f>
        <v>10</v>
      </c>
    </row>
    <row r="70" spans="1:12" x14ac:dyDescent="0.25">
      <c r="A70" s="7"/>
      <c r="B70" s="10"/>
      <c r="C70" s="1" t="s">
        <v>9</v>
      </c>
      <c r="D70" s="1" t="s">
        <v>9</v>
      </c>
      <c r="E70" s="1" t="s">
        <v>9</v>
      </c>
      <c r="F70" s="1" t="s">
        <v>10</v>
      </c>
      <c r="G70" s="1" t="s">
        <v>9</v>
      </c>
      <c r="H70" s="1" t="s">
        <v>9</v>
      </c>
    </row>
    <row r="71" spans="1:12" ht="15.75" thickBot="1" x14ac:dyDescent="0.3">
      <c r="A71" s="8"/>
      <c r="B71" s="11"/>
      <c r="C71" s="5">
        <v>20</v>
      </c>
      <c r="D71" s="5">
        <v>10</v>
      </c>
      <c r="E71" s="5">
        <v>10</v>
      </c>
      <c r="F71" s="5">
        <v>10</v>
      </c>
      <c r="G71" s="5">
        <v>10</v>
      </c>
      <c r="H71" s="5">
        <v>10</v>
      </c>
      <c r="I71" s="5"/>
      <c r="J71" s="5"/>
    </row>
    <row r="72" spans="1:12" x14ac:dyDescent="0.25">
      <c r="A72" s="6" t="s">
        <v>52</v>
      </c>
      <c r="B72" s="9" t="s">
        <v>108</v>
      </c>
      <c r="C72" s="2" t="s">
        <v>109</v>
      </c>
      <c r="D72" s="2" t="s">
        <v>104</v>
      </c>
      <c r="E72" s="2" t="s">
        <v>208</v>
      </c>
      <c r="F72" s="2" t="s">
        <v>181</v>
      </c>
      <c r="G72" s="2" t="s">
        <v>92</v>
      </c>
      <c r="H72" s="2" t="s">
        <v>165</v>
      </c>
      <c r="I72" s="2"/>
      <c r="J72" s="3"/>
    </row>
    <row r="73" spans="1:12" x14ac:dyDescent="0.25">
      <c r="A73" s="7"/>
      <c r="B73" s="10"/>
      <c r="C73" s="1" t="s">
        <v>58</v>
      </c>
      <c r="D73" s="1" t="s">
        <v>64</v>
      </c>
      <c r="E73" s="1" t="s">
        <v>143</v>
      </c>
      <c r="F73" s="1" t="s">
        <v>119</v>
      </c>
      <c r="G73" s="1" t="s">
        <v>60</v>
      </c>
      <c r="H73" s="1" t="s">
        <v>132</v>
      </c>
      <c r="J73" s="4"/>
    </row>
    <row r="74" spans="1:12" x14ac:dyDescent="0.25">
      <c r="A74" s="7"/>
      <c r="B74" s="10"/>
      <c r="C74" s="1" t="s">
        <v>103</v>
      </c>
      <c r="D74" s="1" t="s">
        <v>72</v>
      </c>
      <c r="E74" s="1" t="s">
        <v>132</v>
      </c>
      <c r="F74" s="1" t="s">
        <v>90</v>
      </c>
      <c r="G74" s="1" t="s">
        <v>213</v>
      </c>
      <c r="H74" s="1" t="s">
        <v>151</v>
      </c>
      <c r="J74" s="4"/>
      <c r="K74" s="1" t="s">
        <v>168</v>
      </c>
      <c r="L74" cm="1">
        <f t="array" ref="L74">SUMPRODUCT(IFERROR(VALUE(SUBSTITUTE(MID(C72:J74,SEARCH(" ",C72:J74)+1,10),"%","")),0)*(ISNUMBER(SEARCH("ROBAVIDAS",C72:J74))))</f>
        <v>18</v>
      </c>
    </row>
    <row r="75" spans="1:12" x14ac:dyDescent="0.25">
      <c r="A75" s="7"/>
      <c r="B75" s="10"/>
      <c r="C75" s="1" t="s">
        <v>9</v>
      </c>
      <c r="D75" s="1" t="s">
        <v>10</v>
      </c>
      <c r="E75" s="1" t="s">
        <v>10</v>
      </c>
      <c r="F75" s="1" t="s">
        <v>10</v>
      </c>
      <c r="G75" s="1" t="s">
        <v>9</v>
      </c>
      <c r="H75" s="1" t="s">
        <v>9</v>
      </c>
    </row>
    <row r="76" spans="1:12" ht="15.75" thickBot="1" x14ac:dyDescent="0.3">
      <c r="A76" s="8"/>
      <c r="B76" s="11"/>
      <c r="C76" s="5">
        <v>20</v>
      </c>
      <c r="D76" s="5">
        <v>20</v>
      </c>
      <c r="E76" s="5">
        <v>20</v>
      </c>
      <c r="F76" s="5">
        <v>10</v>
      </c>
      <c r="G76" s="5">
        <v>20</v>
      </c>
      <c r="H76" s="5">
        <v>10</v>
      </c>
      <c r="I76" s="5"/>
      <c r="J76" s="5"/>
    </row>
    <row r="77" spans="1:12" x14ac:dyDescent="0.25">
      <c r="A77" s="6" t="s">
        <v>52</v>
      </c>
      <c r="B77" s="9" t="s">
        <v>112</v>
      </c>
      <c r="C77" s="2" t="s">
        <v>180</v>
      </c>
      <c r="D77" s="2" t="s">
        <v>32</v>
      </c>
      <c r="E77" s="2" t="s">
        <v>155</v>
      </c>
      <c r="F77" s="2" t="s">
        <v>141</v>
      </c>
      <c r="G77" s="2" t="s">
        <v>125</v>
      </c>
      <c r="H77" s="2" t="s">
        <v>163</v>
      </c>
      <c r="I77" s="2"/>
      <c r="J77" s="3"/>
    </row>
    <row r="78" spans="1:12" x14ac:dyDescent="0.25">
      <c r="A78" s="7"/>
      <c r="B78" s="10"/>
      <c r="C78" s="1" t="s">
        <v>28</v>
      </c>
      <c r="D78" s="1" t="s">
        <v>58</v>
      </c>
      <c r="E78" s="1" t="s">
        <v>156</v>
      </c>
      <c r="F78" s="1" t="s">
        <v>123</v>
      </c>
      <c r="G78" s="1" t="s">
        <v>114</v>
      </c>
      <c r="H78" s="1" t="s">
        <v>13</v>
      </c>
      <c r="J78" s="4"/>
    </row>
    <row r="79" spans="1:12" x14ac:dyDescent="0.25">
      <c r="A79" s="7"/>
      <c r="B79" s="10"/>
      <c r="C79" s="1" t="s">
        <v>34</v>
      </c>
      <c r="D79" s="1" t="s">
        <v>123</v>
      </c>
      <c r="E79" s="1" t="s">
        <v>114</v>
      </c>
      <c r="F79" s="1" t="s">
        <v>18</v>
      </c>
      <c r="G79" s="1" t="s">
        <v>110</v>
      </c>
      <c r="H79" s="1" t="s">
        <v>164</v>
      </c>
      <c r="J79" s="4"/>
      <c r="K79" s="1" t="s">
        <v>168</v>
      </c>
      <c r="L79" cm="1">
        <f t="array" ref="L79">SUMPRODUCT(IFERROR(VALUE(SUBSTITUTE(MID(C77:J79,SEARCH(" ",C77:J79)+1,10),"%","")),0)*(ISNUMBER(SEARCH("ROBAVIDAS",C77:J79))))</f>
        <v>12</v>
      </c>
    </row>
    <row r="80" spans="1:12" x14ac:dyDescent="0.25">
      <c r="A80" s="7"/>
      <c r="B80" s="10"/>
      <c r="C80" s="1" t="s">
        <v>9</v>
      </c>
      <c r="D80" s="1" t="s">
        <v>9</v>
      </c>
      <c r="E80" s="1" t="s">
        <v>10</v>
      </c>
      <c r="F80" s="1" t="s">
        <v>9</v>
      </c>
      <c r="G80" s="1" t="s">
        <v>10</v>
      </c>
      <c r="H80" s="1" t="s">
        <v>9</v>
      </c>
    </row>
    <row r="81" spans="1:12" ht="15.75" thickBot="1" x14ac:dyDescent="0.3">
      <c r="A81" s="8"/>
      <c r="B81" s="11"/>
      <c r="C81" s="5">
        <v>20</v>
      </c>
      <c r="D81" s="5">
        <v>20</v>
      </c>
      <c r="E81" s="5">
        <v>20</v>
      </c>
      <c r="F81" s="5">
        <v>10</v>
      </c>
      <c r="G81" s="5">
        <v>11</v>
      </c>
      <c r="H81" s="5">
        <v>10</v>
      </c>
      <c r="I81" s="5"/>
      <c r="J81" s="5"/>
    </row>
    <row r="82" spans="1:12" x14ac:dyDescent="0.25">
      <c r="A82" s="6" t="s">
        <v>52</v>
      </c>
      <c r="B82" s="9" t="s">
        <v>182</v>
      </c>
      <c r="C82" s="2" t="s">
        <v>183</v>
      </c>
      <c r="D82" s="2" t="s">
        <v>185</v>
      </c>
      <c r="E82" s="2" t="s">
        <v>161</v>
      </c>
      <c r="F82" s="2" t="s">
        <v>59</v>
      </c>
      <c r="G82" s="2" t="s">
        <v>136</v>
      </c>
      <c r="H82" s="2" t="s">
        <v>189</v>
      </c>
      <c r="I82" s="2"/>
      <c r="J82" s="3"/>
    </row>
    <row r="83" spans="1:12" x14ac:dyDescent="0.25">
      <c r="A83" s="7"/>
      <c r="B83" s="10"/>
      <c r="C83" s="1" t="s">
        <v>135</v>
      </c>
      <c r="D83" s="1" t="s">
        <v>97</v>
      </c>
      <c r="E83" s="1" t="s">
        <v>187</v>
      </c>
      <c r="F83" s="1" t="s">
        <v>118</v>
      </c>
      <c r="G83" s="1" t="s">
        <v>127</v>
      </c>
      <c r="H83" s="1" t="s">
        <v>60</v>
      </c>
      <c r="J83" s="4"/>
    </row>
    <row r="84" spans="1:12" x14ac:dyDescent="0.25">
      <c r="A84" s="7"/>
      <c r="B84" s="10"/>
      <c r="C84" s="1" t="s">
        <v>184</v>
      </c>
      <c r="D84" s="1" t="s">
        <v>186</v>
      </c>
      <c r="E84" s="1" t="s">
        <v>121</v>
      </c>
      <c r="F84" s="1" t="s">
        <v>115</v>
      </c>
      <c r="G84" s="1" t="s">
        <v>188</v>
      </c>
      <c r="H84" s="1" t="s">
        <v>76</v>
      </c>
      <c r="J84" s="4"/>
      <c r="K84" s="1" t="s">
        <v>168</v>
      </c>
      <c r="L84" cm="1">
        <f t="array" ref="L84">SUMPRODUCT(IFERROR(VALUE(SUBSTITUTE(MID(C82:J84,SEARCH(" ",C82:J84)+1,10),"%","")),0)*(ISNUMBER(SEARCH("ROBAVIDAS",C82:J84))))</f>
        <v>30</v>
      </c>
    </row>
    <row r="85" spans="1:12" x14ac:dyDescent="0.25">
      <c r="A85" s="7"/>
      <c r="B85" s="10"/>
      <c r="C85" s="1" t="s">
        <v>9</v>
      </c>
      <c r="D85" s="1" t="s">
        <v>10</v>
      </c>
      <c r="E85" s="1" t="s">
        <v>10</v>
      </c>
      <c r="F85" s="1" t="s">
        <v>9</v>
      </c>
      <c r="G85" s="1" t="s">
        <v>9</v>
      </c>
      <c r="H85" s="1" t="s">
        <v>10</v>
      </c>
    </row>
    <row r="86" spans="1:12" ht="15.75" thickBot="1" x14ac:dyDescent="0.3">
      <c r="A86" s="8"/>
      <c r="B86" s="11"/>
      <c r="C86" s="5">
        <v>20</v>
      </c>
      <c r="D86" s="5">
        <v>20</v>
      </c>
      <c r="E86" s="5">
        <v>20</v>
      </c>
      <c r="F86" s="5">
        <v>20</v>
      </c>
      <c r="G86" s="5">
        <v>20</v>
      </c>
      <c r="H86" s="5">
        <v>20</v>
      </c>
      <c r="I86" s="5"/>
      <c r="J86" s="5"/>
    </row>
    <row r="87" spans="1:12" x14ac:dyDescent="0.25">
      <c r="A87" s="6" t="s">
        <v>1</v>
      </c>
      <c r="B87" s="9" t="s">
        <v>190</v>
      </c>
      <c r="C87" s="2" t="s">
        <v>175</v>
      </c>
      <c r="D87" s="2" t="s">
        <v>26</v>
      </c>
      <c r="E87" s="2" t="s">
        <v>135</v>
      </c>
      <c r="F87" s="2" t="s">
        <v>100</v>
      </c>
      <c r="G87" s="2" t="s">
        <v>125</v>
      </c>
      <c r="H87" s="2" t="s">
        <v>188</v>
      </c>
      <c r="I87" s="2"/>
      <c r="J87" s="3"/>
    </row>
    <row r="88" spans="1:12" x14ac:dyDescent="0.25">
      <c r="A88" s="7"/>
      <c r="B88" s="10"/>
      <c r="C88" s="1" t="s">
        <v>191</v>
      </c>
      <c r="D88" s="1" t="s">
        <v>64</v>
      </c>
      <c r="E88" s="1" t="s">
        <v>192</v>
      </c>
      <c r="F88" s="1" t="s">
        <v>120</v>
      </c>
      <c r="G88" s="1" t="s">
        <v>155</v>
      </c>
      <c r="H88" s="1" t="s">
        <v>102</v>
      </c>
      <c r="J88" s="4"/>
    </row>
    <row r="89" spans="1:12" x14ac:dyDescent="0.25">
      <c r="A89" s="7"/>
      <c r="B89" s="10"/>
      <c r="C89" s="1" t="s">
        <v>126</v>
      </c>
      <c r="D89" s="1" t="s">
        <v>146</v>
      </c>
      <c r="E89" s="1" t="s">
        <v>22</v>
      </c>
      <c r="F89" s="1" t="s">
        <v>188</v>
      </c>
      <c r="G89" s="1" t="s">
        <v>11</v>
      </c>
      <c r="H89" s="1" t="s">
        <v>155</v>
      </c>
      <c r="J89" s="4"/>
      <c r="K89" s="1" t="s">
        <v>168</v>
      </c>
      <c r="L89" cm="1">
        <f t="array" ref="L89">SUMPRODUCT(IFERROR(VALUE(SUBSTITUTE(MID(C87:J89,SEARCH(" ",C87:J89)+1,10),"%","")),0)*(ISNUMBER(SEARCH("ROBAVIDAS",C87:J89))))</f>
        <v>32</v>
      </c>
    </row>
    <row r="90" spans="1:12" x14ac:dyDescent="0.25">
      <c r="A90" s="7"/>
      <c r="B90" s="10"/>
      <c r="C90" s="1" t="s">
        <v>9</v>
      </c>
      <c r="D90" s="1" t="s">
        <v>9</v>
      </c>
      <c r="E90" s="1" t="s">
        <v>10</v>
      </c>
      <c r="F90" s="1" t="s">
        <v>10</v>
      </c>
      <c r="G90" s="1" t="s">
        <v>10</v>
      </c>
      <c r="H90" s="1" t="s">
        <v>9</v>
      </c>
    </row>
    <row r="91" spans="1:12" ht="15.75" thickBot="1" x14ac:dyDescent="0.3">
      <c r="A91" s="8"/>
      <c r="B91" s="11"/>
      <c r="C91" s="5">
        <v>20</v>
      </c>
      <c r="D91" s="5">
        <v>10</v>
      </c>
      <c r="E91" s="5">
        <v>10</v>
      </c>
      <c r="F91" s="5">
        <v>10</v>
      </c>
      <c r="G91" s="5">
        <v>10</v>
      </c>
      <c r="H91" s="5">
        <v>10</v>
      </c>
      <c r="I91" s="5"/>
      <c r="J91" s="5"/>
    </row>
  </sheetData>
  <autoFilter ref="A1:J1" xr:uid="{F7CA15EE-EF80-4EBF-A1C7-4742F5D0FC98}"/>
  <mergeCells count="36">
    <mergeCell ref="A2:A6"/>
    <mergeCell ref="B2:B6"/>
    <mergeCell ref="A12:A16"/>
    <mergeCell ref="B12:B16"/>
    <mergeCell ref="A82:A86"/>
    <mergeCell ref="B82:B86"/>
    <mergeCell ref="A17:A21"/>
    <mergeCell ref="B17:B21"/>
    <mergeCell ref="A32:A36"/>
    <mergeCell ref="B32:B36"/>
    <mergeCell ref="A37:A41"/>
    <mergeCell ref="B37:B41"/>
    <mergeCell ref="A42:A46"/>
    <mergeCell ref="B42:B46"/>
    <mergeCell ref="A47:A51"/>
    <mergeCell ref="B47:B51"/>
    <mergeCell ref="A77:A81"/>
    <mergeCell ref="B77:B81"/>
    <mergeCell ref="A27:A31"/>
    <mergeCell ref="B27:B31"/>
    <mergeCell ref="A87:A91"/>
    <mergeCell ref="B87:B91"/>
    <mergeCell ref="A57:A61"/>
    <mergeCell ref="B57:B61"/>
    <mergeCell ref="A7:A11"/>
    <mergeCell ref="B7:B11"/>
    <mergeCell ref="A22:A26"/>
    <mergeCell ref="B22:B26"/>
    <mergeCell ref="A72:A76"/>
    <mergeCell ref="B72:B76"/>
    <mergeCell ref="A62:A66"/>
    <mergeCell ref="B62:B66"/>
    <mergeCell ref="A67:A71"/>
    <mergeCell ref="B67:B71"/>
    <mergeCell ref="A52:A56"/>
    <mergeCell ref="B52:B56"/>
  </mergeCells>
  <conditionalFormatting sqref="A2:A91">
    <cfRule type="cellIs" dxfId="145" priority="259" operator="equal">
      <formula>"CABALLERO"</formula>
    </cfRule>
  </conditionalFormatting>
  <conditionalFormatting sqref="A2:A269">
    <cfRule type="cellIs" dxfId="144" priority="258" operator="equal">
      <formula>"ARQUERO"</formula>
    </cfRule>
    <cfRule type="cellIs" dxfId="143" priority="257" operator="equal">
      <formula>"PALADIN"</formula>
    </cfRule>
    <cfRule type="cellIs" dxfId="142" priority="256" operator="equal">
      <formula>"HECHICERO"</formula>
    </cfRule>
    <cfRule type="cellIs" dxfId="141" priority="255" operator="equal">
      <formula>"BERSERKER"</formula>
    </cfRule>
  </conditionalFormatting>
  <conditionalFormatting sqref="C5:J5">
    <cfRule type="cellIs" dxfId="140" priority="254" operator="notBetween">
      <formula>"DEFINITIVO"</formula>
      <formula>"AVANZADO"</formula>
    </cfRule>
    <cfRule type="cellIs" dxfId="139" priority="253" operator="equal">
      <formula>"AVANZADO"</formula>
    </cfRule>
    <cfRule type="cellIs" dxfId="138" priority="252" operator="equal">
      <formula>"DEFINITIVO PRI"</formula>
    </cfRule>
    <cfRule type="cellIs" dxfId="137" priority="91" operator="equal">
      <formula>"AVANZADO PRI"</formula>
    </cfRule>
    <cfRule type="cellIs" dxfId="136" priority="92" operator="equal">
      <formula>"DEFINITIVO"</formula>
    </cfRule>
  </conditionalFormatting>
  <conditionalFormatting sqref="C6:J6">
    <cfRule type="cellIs" dxfId="135" priority="146" operator="between">
      <formula>19</formula>
      <formula>10</formula>
    </cfRule>
    <cfRule type="cellIs" dxfId="134" priority="145" operator="equal">
      <formula>20</formula>
    </cfRule>
    <cfRule type="cellIs" dxfId="133" priority="144" operator="lessThan">
      <formula>9</formula>
    </cfRule>
  </conditionalFormatting>
  <conditionalFormatting sqref="C10:J10">
    <cfRule type="cellIs" dxfId="132" priority="86" operator="equal">
      <formula>"AVANZADO PRI"</formula>
    </cfRule>
    <cfRule type="cellIs" dxfId="131" priority="87" operator="equal">
      <formula>"DEFINITIVO"</formula>
    </cfRule>
    <cfRule type="cellIs" dxfId="130" priority="88" operator="equal">
      <formula>"DEFINITIVO PRI"</formula>
    </cfRule>
    <cfRule type="cellIs" dxfId="129" priority="89" operator="equal">
      <formula>"AVANZADO"</formula>
    </cfRule>
    <cfRule type="cellIs" dxfId="128" priority="90" operator="notBetween">
      <formula>"DEFINITIVO"</formula>
      <formula>"AVANZADO"</formula>
    </cfRule>
  </conditionalFormatting>
  <conditionalFormatting sqref="C11:J11">
    <cfRule type="cellIs" dxfId="127" priority="143" operator="between">
      <formula>19</formula>
      <formula>10</formula>
    </cfRule>
    <cfRule type="cellIs" dxfId="126" priority="141" operator="lessThan">
      <formula>9</formula>
    </cfRule>
    <cfRule type="cellIs" dxfId="125" priority="142" operator="equal">
      <formula>20</formula>
    </cfRule>
  </conditionalFormatting>
  <conditionalFormatting sqref="C15:J15">
    <cfRule type="cellIs" dxfId="124" priority="83" operator="equal">
      <formula>"DEFINITIVO PRI"</formula>
    </cfRule>
    <cfRule type="cellIs" dxfId="123" priority="82" operator="equal">
      <formula>"DEFINITIVO"</formula>
    </cfRule>
    <cfRule type="cellIs" dxfId="122" priority="81" operator="equal">
      <formula>"AVANZADO PRI"</formula>
    </cfRule>
    <cfRule type="cellIs" dxfId="121" priority="84" operator="equal">
      <formula>"AVANZADO"</formula>
    </cfRule>
    <cfRule type="cellIs" dxfId="120" priority="85" operator="notBetween">
      <formula>"DEFINITIVO"</formula>
      <formula>"AVANZADO"</formula>
    </cfRule>
  </conditionalFormatting>
  <conditionalFormatting sqref="C16:J16">
    <cfRule type="cellIs" dxfId="119" priority="140" operator="between">
      <formula>19</formula>
      <formula>10</formula>
    </cfRule>
    <cfRule type="cellIs" dxfId="118" priority="139" operator="equal">
      <formula>20</formula>
    </cfRule>
    <cfRule type="cellIs" dxfId="117" priority="138" operator="lessThan">
      <formula>9</formula>
    </cfRule>
  </conditionalFormatting>
  <conditionalFormatting sqref="C20:J20">
    <cfRule type="cellIs" dxfId="116" priority="77" operator="equal">
      <formula>"DEFINITIVO"</formula>
    </cfRule>
    <cfRule type="cellIs" dxfId="115" priority="78" operator="equal">
      <formula>"DEFINITIVO PRI"</formula>
    </cfRule>
    <cfRule type="cellIs" dxfId="114" priority="80" operator="notBetween">
      <formula>"DEFINITIVO"</formula>
      <formula>"AVANZADO"</formula>
    </cfRule>
    <cfRule type="cellIs" dxfId="113" priority="79" operator="equal">
      <formula>"AVANZADO"</formula>
    </cfRule>
    <cfRule type="cellIs" dxfId="112" priority="76" operator="equal">
      <formula>"AVANZADO PRI"</formula>
    </cfRule>
  </conditionalFormatting>
  <conditionalFormatting sqref="C21:J21 C22:F24 C26:J26">
    <cfRule type="cellIs" dxfId="111" priority="135" operator="lessThan">
      <formula>9</formula>
    </cfRule>
    <cfRule type="cellIs" dxfId="110" priority="136" operator="equal">
      <formula>20</formula>
    </cfRule>
    <cfRule type="cellIs" dxfId="109" priority="137" operator="between">
      <formula>19</formula>
      <formula>10</formula>
    </cfRule>
  </conditionalFormatting>
  <conditionalFormatting sqref="C25:J25">
    <cfRule type="cellIs" dxfId="108" priority="1" operator="equal">
      <formula>"AVANZADO PRI"</formula>
    </cfRule>
    <cfRule type="cellIs" dxfId="107" priority="2" operator="equal">
      <formula>"DEFINITIVO"</formula>
    </cfRule>
    <cfRule type="cellIs" dxfId="106" priority="3" operator="equal">
      <formula>"DEFINITIVO PRI"</formula>
    </cfRule>
    <cfRule type="cellIs" dxfId="105" priority="4" operator="equal">
      <formula>"AVANZADO"</formula>
    </cfRule>
    <cfRule type="cellIs" dxfId="104" priority="5" operator="notBetween">
      <formula>"DEFINITIVO"</formula>
      <formula>"AVANZADO"</formula>
    </cfRule>
  </conditionalFormatting>
  <conditionalFormatting sqref="C30:J30">
    <cfRule type="cellIs" dxfId="103" priority="74" operator="equal">
      <formula>"AVANZADO"</formula>
    </cfRule>
    <cfRule type="cellIs" dxfId="102" priority="72" operator="equal">
      <formula>"DEFINITIVO"</formula>
    </cfRule>
    <cfRule type="cellIs" dxfId="101" priority="71" operator="equal">
      <formula>"AVANZADO PRI"</formula>
    </cfRule>
    <cfRule type="cellIs" dxfId="100" priority="73" operator="equal">
      <formula>"DEFINITIVO PRI"</formula>
    </cfRule>
    <cfRule type="cellIs" dxfId="99" priority="75" operator="notBetween">
      <formula>"DEFINITIVO"</formula>
      <formula>"AVANZADO"</formula>
    </cfRule>
  </conditionalFormatting>
  <conditionalFormatting sqref="C31:J31">
    <cfRule type="cellIs" dxfId="98" priority="134" operator="between">
      <formula>19</formula>
      <formula>10</formula>
    </cfRule>
    <cfRule type="cellIs" dxfId="97" priority="133" operator="equal">
      <formula>20</formula>
    </cfRule>
    <cfRule type="cellIs" dxfId="96" priority="132" operator="lessThan">
      <formula>9</formula>
    </cfRule>
  </conditionalFormatting>
  <conditionalFormatting sqref="C35:J35">
    <cfRule type="cellIs" dxfId="95" priority="67" operator="equal">
      <formula>"DEFINITIVO"</formula>
    </cfRule>
    <cfRule type="cellIs" dxfId="94" priority="66" operator="equal">
      <formula>"AVANZADO PRI"</formula>
    </cfRule>
    <cfRule type="cellIs" dxfId="93" priority="70" operator="notBetween">
      <formula>"DEFINITIVO"</formula>
      <formula>"AVANZADO"</formula>
    </cfRule>
    <cfRule type="cellIs" dxfId="92" priority="69" operator="equal">
      <formula>"AVANZADO"</formula>
    </cfRule>
    <cfRule type="cellIs" dxfId="91" priority="68" operator="equal">
      <formula>"DEFINITIVO PRI"</formula>
    </cfRule>
  </conditionalFormatting>
  <conditionalFormatting sqref="C36:J36">
    <cfRule type="cellIs" dxfId="90" priority="131" operator="between">
      <formula>19</formula>
      <formula>10</formula>
    </cfRule>
    <cfRule type="cellIs" dxfId="89" priority="130" operator="equal">
      <formula>20</formula>
    </cfRule>
    <cfRule type="cellIs" dxfId="88" priority="129" operator="lessThan">
      <formula>9</formula>
    </cfRule>
  </conditionalFormatting>
  <conditionalFormatting sqref="C40:J40">
    <cfRule type="cellIs" dxfId="87" priority="61" operator="equal">
      <formula>"AVANZADO PRI"</formula>
    </cfRule>
    <cfRule type="cellIs" dxfId="86" priority="62" operator="equal">
      <formula>"DEFINITIVO"</formula>
    </cfRule>
    <cfRule type="cellIs" dxfId="85" priority="63" operator="equal">
      <formula>"DEFINITIVO PRI"</formula>
    </cfRule>
    <cfRule type="cellIs" dxfId="84" priority="64" operator="equal">
      <formula>"AVANZADO"</formula>
    </cfRule>
    <cfRule type="cellIs" dxfId="83" priority="65" operator="notBetween">
      <formula>"DEFINITIVO"</formula>
      <formula>"AVANZADO"</formula>
    </cfRule>
  </conditionalFormatting>
  <conditionalFormatting sqref="C41:J41">
    <cfRule type="cellIs" dxfId="82" priority="126" operator="lessThan">
      <formula>9</formula>
    </cfRule>
    <cfRule type="cellIs" dxfId="81" priority="127" operator="equal">
      <formula>20</formula>
    </cfRule>
    <cfRule type="cellIs" dxfId="80" priority="128" operator="between">
      <formula>19</formula>
      <formula>10</formula>
    </cfRule>
  </conditionalFormatting>
  <conditionalFormatting sqref="C45:J45">
    <cfRule type="cellIs" dxfId="79" priority="60" operator="notBetween">
      <formula>"DEFINITIVO"</formula>
      <formula>"AVANZADO"</formula>
    </cfRule>
    <cfRule type="cellIs" dxfId="78" priority="59" operator="equal">
      <formula>"AVANZADO"</formula>
    </cfRule>
    <cfRule type="cellIs" dxfId="77" priority="58" operator="equal">
      <formula>"DEFINITIVO PRI"</formula>
    </cfRule>
    <cfRule type="cellIs" dxfId="76" priority="57" operator="equal">
      <formula>"DEFINITIVO"</formula>
    </cfRule>
    <cfRule type="cellIs" dxfId="75" priority="56" operator="equal">
      <formula>"AVANZADO PRI"</formula>
    </cfRule>
  </conditionalFormatting>
  <conditionalFormatting sqref="C46:J46">
    <cfRule type="cellIs" dxfId="74" priority="123" operator="lessThan">
      <formula>9</formula>
    </cfRule>
    <cfRule type="cellIs" dxfId="73" priority="124" operator="equal">
      <formula>20</formula>
    </cfRule>
    <cfRule type="cellIs" dxfId="72" priority="125" operator="between">
      <formula>19</formula>
      <formula>10</formula>
    </cfRule>
  </conditionalFormatting>
  <conditionalFormatting sqref="C50:J50">
    <cfRule type="cellIs" dxfId="71" priority="51" operator="equal">
      <formula>"AVANZADO PRI"</formula>
    </cfRule>
    <cfRule type="cellIs" dxfId="70" priority="52" operator="equal">
      <formula>"DEFINITIVO"</formula>
    </cfRule>
    <cfRule type="cellIs" dxfId="69" priority="55" operator="notBetween">
      <formula>"DEFINITIVO"</formula>
      <formula>"AVANZADO"</formula>
    </cfRule>
    <cfRule type="cellIs" dxfId="68" priority="54" operator="equal">
      <formula>"AVANZADO"</formula>
    </cfRule>
    <cfRule type="cellIs" dxfId="67" priority="53" operator="equal">
      <formula>"DEFINITIVO PRI"</formula>
    </cfRule>
  </conditionalFormatting>
  <conditionalFormatting sqref="C51:J51">
    <cfRule type="cellIs" dxfId="66" priority="120" operator="lessThan">
      <formula>9</formula>
    </cfRule>
    <cfRule type="cellIs" dxfId="65" priority="121" operator="equal">
      <formula>20</formula>
    </cfRule>
    <cfRule type="cellIs" dxfId="64" priority="122" operator="between">
      <formula>19</formula>
      <formula>10</formula>
    </cfRule>
  </conditionalFormatting>
  <conditionalFormatting sqref="C55:J55">
    <cfRule type="cellIs" dxfId="63" priority="47" operator="equal">
      <formula>"DEFINITIVO"</formula>
    </cfRule>
    <cfRule type="cellIs" dxfId="62" priority="46" operator="equal">
      <formula>"AVANZADO PRI"</formula>
    </cfRule>
    <cfRule type="cellIs" dxfId="61" priority="50" operator="notBetween">
      <formula>"DEFINITIVO"</formula>
      <formula>"AVANZADO"</formula>
    </cfRule>
    <cfRule type="cellIs" dxfId="60" priority="49" operator="equal">
      <formula>"AVANZADO"</formula>
    </cfRule>
    <cfRule type="cellIs" dxfId="59" priority="48" operator="equal">
      <formula>"DEFINITIVO PRI"</formula>
    </cfRule>
  </conditionalFormatting>
  <conditionalFormatting sqref="C56:J56">
    <cfRule type="cellIs" dxfId="58" priority="118" operator="equal">
      <formula>20</formula>
    </cfRule>
    <cfRule type="cellIs" dxfId="57" priority="119" operator="between">
      <formula>19</formula>
      <formula>10</formula>
    </cfRule>
    <cfRule type="cellIs" dxfId="56" priority="117" operator="lessThan">
      <formula>9</formula>
    </cfRule>
  </conditionalFormatting>
  <conditionalFormatting sqref="C60:J60">
    <cfRule type="cellIs" dxfId="55" priority="45" operator="notBetween">
      <formula>"DEFINITIVO"</formula>
      <formula>"AVANZADO"</formula>
    </cfRule>
    <cfRule type="cellIs" dxfId="54" priority="44" operator="equal">
      <formula>"AVANZADO"</formula>
    </cfRule>
    <cfRule type="cellIs" dxfId="53" priority="43" operator="equal">
      <formula>"DEFINITIVO PRI"</formula>
    </cfRule>
    <cfRule type="cellIs" dxfId="52" priority="42" operator="equal">
      <formula>"DEFINITIVO"</formula>
    </cfRule>
    <cfRule type="cellIs" dxfId="51" priority="41" operator="equal">
      <formula>"AVANZADO PRI"</formula>
    </cfRule>
  </conditionalFormatting>
  <conditionalFormatting sqref="C61:J61">
    <cfRule type="cellIs" dxfId="50" priority="116" operator="between">
      <formula>19</formula>
      <formula>10</formula>
    </cfRule>
    <cfRule type="cellIs" dxfId="49" priority="115" operator="equal">
      <formula>20</formula>
    </cfRule>
    <cfRule type="cellIs" dxfId="48" priority="114" operator="lessThan">
      <formula>9</formula>
    </cfRule>
  </conditionalFormatting>
  <conditionalFormatting sqref="C65:J65">
    <cfRule type="cellIs" dxfId="47" priority="37" operator="equal">
      <formula>"DEFINITIVO"</formula>
    </cfRule>
    <cfRule type="cellIs" dxfId="46" priority="40" operator="notBetween">
      <formula>"DEFINITIVO"</formula>
      <formula>"AVANZADO"</formula>
    </cfRule>
    <cfRule type="cellIs" dxfId="45" priority="39" operator="equal">
      <formula>"AVANZADO"</formula>
    </cfRule>
    <cfRule type="cellIs" dxfId="44" priority="38" operator="equal">
      <formula>"DEFINITIVO PRI"</formula>
    </cfRule>
    <cfRule type="cellIs" dxfId="43" priority="36" operator="equal">
      <formula>"AVANZADO PRI"</formula>
    </cfRule>
  </conditionalFormatting>
  <conditionalFormatting sqref="C66:J66">
    <cfRule type="cellIs" dxfId="42" priority="112" operator="equal">
      <formula>20</formula>
    </cfRule>
    <cfRule type="cellIs" dxfId="41" priority="113" operator="between">
      <formula>19</formula>
      <formula>10</formula>
    </cfRule>
    <cfRule type="cellIs" dxfId="40" priority="111" operator="lessThan">
      <formula>9</formula>
    </cfRule>
  </conditionalFormatting>
  <conditionalFormatting sqref="C70:J70">
    <cfRule type="cellIs" dxfId="39" priority="32" operator="equal">
      <formula>"DEFINITIVO"</formula>
    </cfRule>
    <cfRule type="cellIs" dxfId="38" priority="33" operator="equal">
      <formula>"DEFINITIVO PRI"</formula>
    </cfRule>
    <cfRule type="cellIs" dxfId="37" priority="34" operator="equal">
      <formula>"AVANZADO"</formula>
    </cfRule>
    <cfRule type="cellIs" dxfId="36" priority="35" operator="notBetween">
      <formula>"DEFINITIVO"</formula>
      <formula>"AVANZADO"</formula>
    </cfRule>
    <cfRule type="cellIs" dxfId="35" priority="31" operator="equal">
      <formula>"AVANZADO PRI"</formula>
    </cfRule>
  </conditionalFormatting>
  <conditionalFormatting sqref="C71:J71">
    <cfRule type="cellIs" dxfId="34" priority="108" operator="lessThan">
      <formula>9</formula>
    </cfRule>
    <cfRule type="cellIs" dxfId="33" priority="109" operator="equal">
      <formula>20</formula>
    </cfRule>
    <cfRule type="cellIs" dxfId="32" priority="110" operator="between">
      <formula>19</formula>
      <formula>10</formula>
    </cfRule>
  </conditionalFormatting>
  <conditionalFormatting sqref="C75:J75">
    <cfRule type="cellIs" dxfId="31" priority="30" operator="notBetween">
      <formula>"DEFINITIVO"</formula>
      <formula>"AVANZADO"</formula>
    </cfRule>
    <cfRule type="cellIs" dxfId="30" priority="29" operator="equal">
      <formula>"AVANZADO"</formula>
    </cfRule>
    <cfRule type="cellIs" dxfId="29" priority="28" operator="equal">
      <formula>"DEFINITIVO PRI"</formula>
    </cfRule>
    <cfRule type="cellIs" dxfId="28" priority="27" operator="equal">
      <formula>"DEFINITIVO"</formula>
    </cfRule>
    <cfRule type="cellIs" dxfId="27" priority="26" operator="equal">
      <formula>"AVANZADO PRI"</formula>
    </cfRule>
  </conditionalFormatting>
  <conditionalFormatting sqref="C76:J76">
    <cfRule type="cellIs" dxfId="26" priority="107" operator="between">
      <formula>19</formula>
      <formula>10</formula>
    </cfRule>
    <cfRule type="cellIs" dxfId="25" priority="106" operator="equal">
      <formula>20</formula>
    </cfRule>
    <cfRule type="cellIs" dxfId="24" priority="105" operator="lessThan">
      <formula>9</formula>
    </cfRule>
  </conditionalFormatting>
  <conditionalFormatting sqref="C80:J80">
    <cfRule type="cellIs" dxfId="23" priority="24" operator="equal">
      <formula>"AVANZADO"</formula>
    </cfRule>
    <cfRule type="cellIs" dxfId="22" priority="21" operator="equal">
      <formula>"AVANZADO PRI"</formula>
    </cfRule>
    <cfRule type="cellIs" dxfId="21" priority="25" operator="notBetween">
      <formula>"DEFINITIVO"</formula>
      <formula>"AVANZADO"</formula>
    </cfRule>
    <cfRule type="cellIs" dxfId="20" priority="23" operator="equal">
      <formula>"DEFINITIVO PRI"</formula>
    </cfRule>
    <cfRule type="cellIs" dxfId="19" priority="22" operator="equal">
      <formula>"DEFINITIVO"</formula>
    </cfRule>
  </conditionalFormatting>
  <conditionalFormatting sqref="C81:J81">
    <cfRule type="cellIs" dxfId="18" priority="104" operator="between">
      <formula>19</formula>
      <formula>10</formula>
    </cfRule>
    <cfRule type="cellIs" dxfId="17" priority="102" operator="lessThan">
      <formula>9</formula>
    </cfRule>
    <cfRule type="cellIs" dxfId="16" priority="103" operator="equal">
      <formula>20</formula>
    </cfRule>
  </conditionalFormatting>
  <conditionalFormatting sqref="C85:J85">
    <cfRule type="cellIs" dxfId="15" priority="20" operator="notBetween">
      <formula>"DEFINITIVO"</formula>
      <formula>"AVANZADO"</formula>
    </cfRule>
    <cfRule type="cellIs" dxfId="14" priority="17" operator="equal">
      <formula>"DEFINITIVO"</formula>
    </cfRule>
    <cfRule type="cellIs" dxfId="13" priority="18" operator="equal">
      <formula>"DEFINITIVO PRI"</formula>
    </cfRule>
    <cfRule type="cellIs" dxfId="12" priority="19" operator="equal">
      <formula>"AVANZADO"</formula>
    </cfRule>
    <cfRule type="cellIs" dxfId="11" priority="16" operator="equal">
      <formula>"AVANZADO PRI"</formula>
    </cfRule>
  </conditionalFormatting>
  <conditionalFormatting sqref="C86:J86">
    <cfRule type="cellIs" dxfId="10" priority="101" operator="between">
      <formula>19</formula>
      <formula>10</formula>
    </cfRule>
    <cfRule type="cellIs" dxfId="9" priority="100" operator="equal">
      <formula>20</formula>
    </cfRule>
    <cfRule type="cellIs" dxfId="8" priority="99" operator="lessThan">
      <formula>9</formula>
    </cfRule>
  </conditionalFormatting>
  <conditionalFormatting sqref="C90:J90">
    <cfRule type="cellIs" dxfId="7" priority="11" operator="equal">
      <formula>"AVANZADO PRI"</formula>
    </cfRule>
    <cfRule type="cellIs" dxfId="6" priority="14" operator="equal">
      <formula>"AVANZADO"</formula>
    </cfRule>
    <cfRule type="cellIs" dxfId="5" priority="13" operator="equal">
      <formula>"DEFINITIVO PRI"</formula>
    </cfRule>
    <cfRule type="cellIs" dxfId="4" priority="12" operator="equal">
      <formula>"DEFINITIVO"</formula>
    </cfRule>
    <cfRule type="cellIs" dxfId="3" priority="15" operator="notBetween">
      <formula>"DEFINITIVO"</formula>
      <formula>"AVANZADO"</formula>
    </cfRule>
  </conditionalFormatting>
  <conditionalFormatting sqref="C91:J91">
    <cfRule type="cellIs" dxfId="2" priority="98" operator="between">
      <formula>19</formula>
      <formula>10</formula>
    </cfRule>
    <cfRule type="cellIs" dxfId="1" priority="97" operator="equal">
      <formula>20</formula>
    </cfRule>
    <cfRule type="cellIs" dxfId="0" priority="96" operator="lessThan">
      <formula>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Gallego, Javier</dc:creator>
  <cp:lastModifiedBy>Alonso Gallego, Javier</cp:lastModifiedBy>
  <dcterms:created xsi:type="dcterms:W3CDTF">2026-07-29T07:48:50Z</dcterms:created>
  <dcterms:modified xsi:type="dcterms:W3CDTF">2026-07-31T11:55:48Z</dcterms:modified>
</cp:coreProperties>
</file>